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mq.sharepoint.com/sites/HEDBDRP/Shared Documents/BD Profiles/"/>
    </mc:Choice>
  </mc:AlternateContent>
  <xr:revisionPtr revIDLastSave="21" documentId="8_{5DCCE255-ACBA-4023-AC7B-99C3F1216909}" xr6:coauthVersionLast="47" xr6:coauthVersionMax="47" xr10:uidLastSave="{3366EA2D-5F58-41ED-A4F3-BE1FB92627CB}"/>
  <bookViews>
    <workbookView minimized="1" xWindow="30495" yWindow="3225" windowWidth="21600" windowHeight="11295" xr2:uid="{59216DD0-8E81-42D4-98BB-54B98D5274A5}"/>
  </bookViews>
  <sheets>
    <sheet name="data(1)" sheetId="1" r:id="rId1"/>
  </sheets>
  <definedNames>
    <definedName name="_xlnm._FilterDatabase" localSheetId="0" hidden="1">'data(1)'!$A$1:$J$43</definedName>
  </definedNames>
  <calcPr calcId="0"/>
</workbook>
</file>

<file path=xl/calcChain.xml><?xml version="1.0" encoding="utf-8"?>
<calcChain xmlns="http://schemas.openxmlformats.org/spreadsheetml/2006/main">
  <c r="C44" i="1" l="1"/>
</calcChain>
</file>

<file path=xl/sharedStrings.xml><?xml version="1.0" encoding="utf-8"?>
<sst xmlns="http://schemas.openxmlformats.org/spreadsheetml/2006/main" count="312" uniqueCount="62">
  <si>
    <t>Grantmaker Name</t>
  </si>
  <si>
    <t>Grantmaker State</t>
  </si>
  <si>
    <t>Recipient Name</t>
  </si>
  <si>
    <t>Recipient City</t>
  </si>
  <si>
    <t>Recipient State/Country</t>
  </si>
  <si>
    <t>Primary Subject</t>
  </si>
  <si>
    <t>Year Authorized</t>
  </si>
  <si>
    <t>Grant Amount</t>
  </si>
  <si>
    <t>Support Strategies</t>
  </si>
  <si>
    <t>Description</t>
  </si>
  <si>
    <t>Charles a Whitehead Foundation Inc</t>
  </si>
  <si>
    <t>FL</t>
  </si>
  <si>
    <t>Gulf Coast State College Foundation Inc</t>
  </si>
  <si>
    <t>Panama City</t>
  </si>
  <si>
    <t xml:space="preserve">Education </t>
  </si>
  <si>
    <t>CONTRIBUTION</t>
  </si>
  <si>
    <t>Triumph Gulf Coast Inc</t>
  </si>
  <si>
    <t>Gulf Coast State College</t>
  </si>
  <si>
    <t xml:space="preserve">Higher education </t>
  </si>
  <si>
    <t>Program support</t>
  </si>
  <si>
    <t>THE FUNDS ARE USED FOR THE PROGRAM FOR UNMANNED AERIAL SYSTEMS PILOT BOOT CAMP FOR EXITING MILITARY - A 16-WEEK PROGRAM DESIGNED TO ASSIST EXITING MILITARY PERSONNEL IN BAY, ESCAMBIA, FRANKLIN, GULF, OKALOOSA, SANTA ROSA, WALTON, AND WAKULLA COUNTIES TO BECOME CERTIFIED AS REMOTE PILOTS OF UNMANNED AERIAL SYSTEMS.</t>
  </si>
  <si>
    <t xml:space="preserve">Nursing education </t>
  </si>
  <si>
    <t>Leadership and professional development;Equipment</t>
  </si>
  <si>
    <t>THE GRANT WILL PROVIDE FUNDING TO CREATE A NURSING SIMULATION CENTER USING THE NEWEST AND MOST EFFECTIVE SIMULATION EQUIPMENT, TECHNOLOGY AND TRAINED FACULTY.</t>
  </si>
  <si>
    <t>Gulf Coast Workforce Development Board Inc</t>
  </si>
  <si>
    <t xml:space="preserve">Job creation and workforce development </t>
  </si>
  <si>
    <t>JOB TRAINING/WORKFORCE DEVELOPMENT</t>
  </si>
  <si>
    <t>The St Joe Community Foundation Inc</t>
  </si>
  <si>
    <t>EDUCATION</t>
  </si>
  <si>
    <t>Community Foundation of Sarasota County</t>
  </si>
  <si>
    <t>Scholarships;General support</t>
  </si>
  <si>
    <t>SCHOLARSHIP SUPPORT</t>
  </si>
  <si>
    <t>National Philanthropic Trust</t>
  </si>
  <si>
    <t>PA</t>
  </si>
  <si>
    <t>The Florida College System Foundation Inc</t>
  </si>
  <si>
    <t>VARIOUS AWARDS</t>
  </si>
  <si>
    <t>Scholarships</t>
  </si>
  <si>
    <t>George G &amp; Amelia G Tapper Foundation Trust</t>
  </si>
  <si>
    <t>EDUCATION SUPPORT</t>
  </si>
  <si>
    <t>Equipment</t>
  </si>
  <si>
    <t>THE GRANT WILL PROVIDE FUNDING TO LEVERAGE OR ENHANCE REGIONAL ASSETS TO PROVIDE TRAINING AND EQUIPMENT NEEDED TO RESPOND TO DISASTERS USING UNMANNED VEHICLES.</t>
  </si>
  <si>
    <t>Scholarship Fund</t>
  </si>
  <si>
    <t>The Alfred I Dupont Foundation Inc</t>
  </si>
  <si>
    <t xml:space="preserve">Storms, hurricanes and tornadoes </t>
  </si>
  <si>
    <t>Gulf Coast Guarantee Scholarship</t>
  </si>
  <si>
    <t>EDUCATION; COMMUNITY OUTREACH</t>
  </si>
  <si>
    <t>Gulf Power Foundationinc</t>
  </si>
  <si>
    <t xml:space="preserve">National defense </t>
  </si>
  <si>
    <t>Endowments</t>
  </si>
  <si>
    <t>ENDOWMENT FUND FOR VETERANS</t>
  </si>
  <si>
    <t>Panhandle Credit Union</t>
  </si>
  <si>
    <t>SCHOLARSHIP PROGRAM</t>
  </si>
  <si>
    <t>Job training/workforce development/advanced manufacturing</t>
  </si>
  <si>
    <t>Enterprise Florida Inc</t>
  </si>
  <si>
    <t>Military installation affected by base realignment</t>
  </si>
  <si>
    <t>THE GRANT WILL PROVIDE FUNDING FOR EXPANDING THE CAPACITY OF THE CAMPUS IN ORDER TO INCREASE ENROLLMENT, COMPLETION, AND JOB PLACEMENT IN THE CERTIFIED NURSING ASSISTANT, PRACTICAL NURSING, AND LPN TO ADN BRIDGE PROGRAMS.</t>
  </si>
  <si>
    <t xml:space="preserve"> </t>
  </si>
  <si>
    <t>Various awards</t>
  </si>
  <si>
    <t>Job training/workforce development</t>
  </si>
  <si>
    <t>INTERNATIONAL TARGET SECTOR TRADE SHOW GRANT</t>
  </si>
  <si>
    <t>GCSC foundation donation</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</si>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</sst>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2" formatCode="_(&quot;$&quot;* #,##0_);_(&quot;$&quot;* \(#,##0\);_(&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42" fontId="0" fillId="0" borderId="0" xfId="0" applyNumberFormat="1"/>
    <xf numFmtId="0" fontId="16" fillId="0" borderId="0" xfId="0" applyFont="1"/>
    <xf numFmtId="42" fontId="16" fillId="0" borderId="0" xfId="0" applyNumberFormat="1"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A05B7-A821-4631-8435-5268D68AF526}">
  <dimension ref="A1:J44"/>
  <sheetViews>
    <sheetView tabSelected="1" topLeftCell="J1" workbookViewId="0">
      <selection activeCell="A9" sqref="A1:J44"/>
    </sheetView>
  </sheetViews>
  <sheetFormatPr defaultRowHeight="15" x14ac:dyDescent="0.25"/>
  <cols>
    <col min="1" max="1" width="41.85546875" bestFit="1" customWidth="1"/>
    <col min="2" max="2" width="14.85546875" bestFit="1" customWidth="1"/>
    <col min="3" max="3" width="13.28515625" style="1" bestFit="1" customWidth="1"/>
    <col min="4" max="4" width="16.28515625" bestFit="1" customWidth="1"/>
    <col min="5" max="5" width="36.140625" bestFit="1" customWidth="1"/>
    <col min="6" max="6" width="12.7109375" bestFit="1" customWidth="1"/>
    <col min="7" max="7" width="21.7109375" bestFit="1" customWidth="1"/>
    <col min="8" max="8" width="37.7109375" bestFit="1" customWidth="1"/>
    <col min="9" max="9" width="49.140625" bestFit="1" customWidth="1"/>
    <col min="10" max="10" width="255.7109375" bestFit="1" customWidth="1"/>
  </cols>
  <sheetData>
    <row r="1" spans="1:10" x14ac:dyDescent="0.25">
      <c r="A1" t="s">
        <v>0</v>
      </c>
      <c r="B1" t="s">
        <v>6</v>
      </c>
      <c r="C1" s="1" t="s">
        <v>7</v>
      </c>
      <c r="D1" t="s">
        <v>1</v>
      </c>
      <c r="E1" t="s">
        <v>2</v>
      </c>
      <c r="F1" t="s">
        <v>3</v>
      </c>
      <c r="G1" t="s">
        <v>4</v>
      </c>
      <c r="H1" t="s">
        <v>5</v>
      </c>
      <c r="I1" t="s">
        <v>8</v>
      </c>
      <c r="J1" t="s">
        <v>9</v>
      </c>
    </row>
    <row r="2" spans="1:10" x14ac:dyDescent="0.25">
      <c r="A2" t="s">
        <v>10</v>
      </c>
      <c r="B2">
        <v>2025</v>
      </c>
      <c r="C2" s="1">
        <v>25000</v>
      </c>
      <c r="D2" t="s">
        <v>11</v>
      </c>
      <c r="E2" t="s">
        <v>12</v>
      </c>
      <c r="F2" t="s">
        <v>13</v>
      </c>
      <c r="G2" t="s">
        <v>11</v>
      </c>
      <c r="H2" t="s">
        <v>14</v>
      </c>
      <c r="J2" t="s">
        <v>15</v>
      </c>
    </row>
    <row r="3" spans="1:10" x14ac:dyDescent="0.25">
      <c r="A3" t="s">
        <v>10</v>
      </c>
      <c r="B3">
        <v>2024</v>
      </c>
      <c r="C3" s="1">
        <v>25000</v>
      </c>
      <c r="D3" t="s">
        <v>11</v>
      </c>
      <c r="E3" t="s">
        <v>12</v>
      </c>
      <c r="F3" t="s">
        <v>13</v>
      </c>
      <c r="G3" t="s">
        <v>11</v>
      </c>
      <c r="H3" t="s">
        <v>14</v>
      </c>
      <c r="J3" t="s">
        <v>15</v>
      </c>
    </row>
    <row r="4" spans="1:10" x14ac:dyDescent="0.25">
      <c r="A4" t="s">
        <v>29</v>
      </c>
      <c r="B4">
        <v>2024</v>
      </c>
      <c r="C4" s="1">
        <v>80000</v>
      </c>
      <c r="D4" t="s">
        <v>11</v>
      </c>
      <c r="E4" t="s">
        <v>12</v>
      </c>
      <c r="F4" t="s">
        <v>13</v>
      </c>
      <c r="G4" t="s">
        <v>11</v>
      </c>
      <c r="H4" t="s">
        <v>14</v>
      </c>
      <c r="I4" t="s">
        <v>30</v>
      </c>
      <c r="J4" t="s">
        <v>31</v>
      </c>
    </row>
    <row r="5" spans="1:10" x14ac:dyDescent="0.25">
      <c r="A5" t="s">
        <v>24</v>
      </c>
      <c r="B5">
        <v>2024</v>
      </c>
      <c r="C5" s="1">
        <v>431805</v>
      </c>
      <c r="D5" t="s">
        <v>11</v>
      </c>
      <c r="E5" t="s">
        <v>17</v>
      </c>
      <c r="F5" t="s">
        <v>13</v>
      </c>
      <c r="G5" t="s">
        <v>11</v>
      </c>
      <c r="H5" t="s">
        <v>25</v>
      </c>
      <c r="J5" t="s">
        <v>26</v>
      </c>
    </row>
    <row r="6" spans="1:10" x14ac:dyDescent="0.25">
      <c r="A6" t="s">
        <v>32</v>
      </c>
      <c r="B6">
        <v>2024</v>
      </c>
      <c r="C6" s="1">
        <v>50000</v>
      </c>
      <c r="D6" t="s">
        <v>33</v>
      </c>
      <c r="E6" t="s">
        <v>12</v>
      </c>
      <c r="F6" t="s">
        <v>13</v>
      </c>
      <c r="G6" t="s">
        <v>11</v>
      </c>
      <c r="H6" t="s">
        <v>14</v>
      </c>
      <c r="J6" t="s">
        <v>28</v>
      </c>
    </row>
    <row r="7" spans="1:10" x14ac:dyDescent="0.25">
      <c r="A7" t="s">
        <v>34</v>
      </c>
      <c r="B7">
        <v>2024</v>
      </c>
      <c r="C7" s="1">
        <v>29416</v>
      </c>
      <c r="D7" t="s">
        <v>11</v>
      </c>
      <c r="E7" t="s">
        <v>12</v>
      </c>
      <c r="F7" t="s">
        <v>13</v>
      </c>
      <c r="G7" t="s">
        <v>11</v>
      </c>
      <c r="H7" t="s">
        <v>14</v>
      </c>
      <c r="J7" t="s">
        <v>35</v>
      </c>
    </row>
    <row r="8" spans="1:10" x14ac:dyDescent="0.25">
      <c r="A8" t="s">
        <v>27</v>
      </c>
      <c r="B8">
        <v>2024</v>
      </c>
      <c r="C8" s="1">
        <v>95919</v>
      </c>
      <c r="D8" t="s">
        <v>11</v>
      </c>
      <c r="E8" t="s">
        <v>12</v>
      </c>
      <c r="F8" t="s">
        <v>13</v>
      </c>
      <c r="G8" t="s">
        <v>11</v>
      </c>
      <c r="H8" t="s">
        <v>14</v>
      </c>
      <c r="J8" t="s">
        <v>28</v>
      </c>
    </row>
    <row r="9" spans="1:10" x14ac:dyDescent="0.25">
      <c r="A9" t="s">
        <v>16</v>
      </c>
      <c r="B9">
        <v>2024</v>
      </c>
      <c r="C9" s="1">
        <v>1225943</v>
      </c>
      <c r="D9" t="s">
        <v>11</v>
      </c>
      <c r="E9" t="s">
        <v>17</v>
      </c>
      <c r="F9" t="s">
        <v>13</v>
      </c>
      <c r="G9" t="s">
        <v>11</v>
      </c>
      <c r="H9" t="s">
        <v>18</v>
      </c>
      <c r="I9" t="s">
        <v>19</v>
      </c>
      <c r="J9" t="s">
        <v>20</v>
      </c>
    </row>
    <row r="10" spans="1:10" x14ac:dyDescent="0.25">
      <c r="A10" t="s">
        <v>16</v>
      </c>
      <c r="B10">
        <v>2024</v>
      </c>
      <c r="C10" s="1">
        <v>868210</v>
      </c>
      <c r="D10" t="s">
        <v>11</v>
      </c>
      <c r="E10" t="s">
        <v>17</v>
      </c>
      <c r="F10" t="s">
        <v>13</v>
      </c>
      <c r="G10" t="s">
        <v>11</v>
      </c>
      <c r="H10" t="s">
        <v>21</v>
      </c>
      <c r="I10" t="s">
        <v>22</v>
      </c>
      <c r="J10" t="s">
        <v>23</v>
      </c>
    </row>
    <row r="11" spans="1:10" x14ac:dyDescent="0.25">
      <c r="A11" t="s">
        <v>10</v>
      </c>
      <c r="B11">
        <v>2023</v>
      </c>
      <c r="C11" s="1">
        <v>25000</v>
      </c>
      <c r="D11" t="s">
        <v>11</v>
      </c>
      <c r="E11" t="s">
        <v>12</v>
      </c>
      <c r="F11" t="s">
        <v>13</v>
      </c>
      <c r="G11" t="s">
        <v>11</v>
      </c>
      <c r="H11" t="s">
        <v>14</v>
      </c>
      <c r="J11" t="s">
        <v>15</v>
      </c>
    </row>
    <row r="12" spans="1:10" x14ac:dyDescent="0.25">
      <c r="A12" t="s">
        <v>29</v>
      </c>
      <c r="B12">
        <v>2023</v>
      </c>
      <c r="C12" s="1">
        <v>90000</v>
      </c>
      <c r="D12" t="s">
        <v>11</v>
      </c>
      <c r="E12" t="s">
        <v>12</v>
      </c>
      <c r="F12" t="s">
        <v>13</v>
      </c>
      <c r="G12" t="s">
        <v>11</v>
      </c>
      <c r="H12" t="s">
        <v>14</v>
      </c>
      <c r="I12" t="s">
        <v>30</v>
      </c>
      <c r="J12" t="s">
        <v>31</v>
      </c>
    </row>
    <row r="13" spans="1:10" x14ac:dyDescent="0.25">
      <c r="A13" t="s">
        <v>37</v>
      </c>
      <c r="B13">
        <v>2023</v>
      </c>
      <c r="C13" s="1">
        <v>20000</v>
      </c>
      <c r="D13" t="s">
        <v>11</v>
      </c>
      <c r="E13" t="s">
        <v>12</v>
      </c>
      <c r="F13" t="s">
        <v>13</v>
      </c>
      <c r="G13" t="s">
        <v>11</v>
      </c>
      <c r="H13" t="s">
        <v>14</v>
      </c>
      <c r="J13" t="s">
        <v>38</v>
      </c>
    </row>
    <row r="14" spans="1:10" x14ac:dyDescent="0.25">
      <c r="A14" t="s">
        <v>34</v>
      </c>
      <c r="B14">
        <v>2023</v>
      </c>
      <c r="C14" s="1">
        <v>29416</v>
      </c>
      <c r="D14" t="s">
        <v>11</v>
      </c>
      <c r="E14" t="s">
        <v>12</v>
      </c>
      <c r="F14" t="s">
        <v>13</v>
      </c>
      <c r="G14" t="s">
        <v>11</v>
      </c>
      <c r="H14" t="s">
        <v>14</v>
      </c>
      <c r="J14" t="s">
        <v>35</v>
      </c>
    </row>
    <row r="15" spans="1:10" x14ac:dyDescent="0.25">
      <c r="A15" t="s">
        <v>27</v>
      </c>
      <c r="B15">
        <v>2023</v>
      </c>
      <c r="C15" s="1">
        <v>89500</v>
      </c>
      <c r="D15" t="s">
        <v>11</v>
      </c>
      <c r="E15" t="s">
        <v>12</v>
      </c>
      <c r="F15" t="s">
        <v>13</v>
      </c>
      <c r="G15" t="s">
        <v>11</v>
      </c>
      <c r="H15" t="s">
        <v>14</v>
      </c>
      <c r="J15" t="s">
        <v>28</v>
      </c>
    </row>
    <row r="16" spans="1:10" x14ac:dyDescent="0.25">
      <c r="A16" t="s">
        <v>10</v>
      </c>
      <c r="B16">
        <v>2022</v>
      </c>
      <c r="C16" s="1">
        <v>25000</v>
      </c>
      <c r="D16" t="s">
        <v>11</v>
      </c>
      <c r="E16" t="s">
        <v>12</v>
      </c>
      <c r="F16" t="s">
        <v>13</v>
      </c>
      <c r="G16" t="s">
        <v>11</v>
      </c>
      <c r="H16" t="s">
        <v>14</v>
      </c>
      <c r="J16" t="s">
        <v>15</v>
      </c>
    </row>
    <row r="17" spans="1:10" x14ac:dyDescent="0.25">
      <c r="A17" t="s">
        <v>29</v>
      </c>
      <c r="B17">
        <v>2022</v>
      </c>
      <c r="C17" s="1">
        <v>100000</v>
      </c>
      <c r="D17" t="s">
        <v>11</v>
      </c>
      <c r="E17" t="s">
        <v>12</v>
      </c>
      <c r="F17" t="s">
        <v>13</v>
      </c>
      <c r="G17" t="s">
        <v>11</v>
      </c>
      <c r="H17" t="s">
        <v>14</v>
      </c>
      <c r="I17" t="s">
        <v>36</v>
      </c>
      <c r="J17" t="s">
        <v>41</v>
      </c>
    </row>
    <row r="18" spans="1:10" x14ac:dyDescent="0.25">
      <c r="A18" t="s">
        <v>37</v>
      </c>
      <c r="B18">
        <v>2022</v>
      </c>
      <c r="C18" s="1">
        <v>20000</v>
      </c>
      <c r="D18" t="s">
        <v>11</v>
      </c>
      <c r="E18" t="s">
        <v>12</v>
      </c>
      <c r="F18" t="s">
        <v>13</v>
      </c>
      <c r="G18" t="s">
        <v>11</v>
      </c>
      <c r="H18" t="s">
        <v>14</v>
      </c>
      <c r="J18" t="s">
        <v>38</v>
      </c>
    </row>
    <row r="19" spans="1:10" x14ac:dyDescent="0.25">
      <c r="A19" t="s">
        <v>24</v>
      </c>
      <c r="B19">
        <v>2022</v>
      </c>
      <c r="C19" s="1">
        <v>469674</v>
      </c>
      <c r="D19" t="s">
        <v>11</v>
      </c>
      <c r="E19" t="s">
        <v>17</v>
      </c>
      <c r="F19" t="s">
        <v>13</v>
      </c>
      <c r="G19" t="s">
        <v>11</v>
      </c>
      <c r="H19" t="s">
        <v>25</v>
      </c>
      <c r="J19" t="s">
        <v>26</v>
      </c>
    </row>
    <row r="20" spans="1:10" x14ac:dyDescent="0.25">
      <c r="A20" t="s">
        <v>42</v>
      </c>
      <c r="B20">
        <v>2022</v>
      </c>
      <c r="C20" s="1">
        <v>75000</v>
      </c>
      <c r="D20" t="s">
        <v>11</v>
      </c>
      <c r="E20" t="s">
        <v>12</v>
      </c>
      <c r="F20" t="s">
        <v>13</v>
      </c>
      <c r="G20" t="s">
        <v>11</v>
      </c>
      <c r="H20" t="s">
        <v>14</v>
      </c>
    </row>
    <row r="21" spans="1:10" x14ac:dyDescent="0.25">
      <c r="A21" t="s">
        <v>34</v>
      </c>
      <c r="B21">
        <v>2022</v>
      </c>
      <c r="C21" s="1">
        <v>25524</v>
      </c>
      <c r="D21" t="s">
        <v>11</v>
      </c>
      <c r="E21" t="s">
        <v>17</v>
      </c>
      <c r="F21" t="s">
        <v>13</v>
      </c>
      <c r="G21" t="s">
        <v>11</v>
      </c>
      <c r="H21" t="s">
        <v>18</v>
      </c>
      <c r="J21" t="s">
        <v>35</v>
      </c>
    </row>
    <row r="22" spans="1:10" x14ac:dyDescent="0.25">
      <c r="A22" t="s">
        <v>27</v>
      </c>
      <c r="B22">
        <v>2022</v>
      </c>
      <c r="C22" s="1">
        <v>58000</v>
      </c>
      <c r="D22" t="s">
        <v>11</v>
      </c>
      <c r="E22" t="s">
        <v>12</v>
      </c>
      <c r="F22" t="s">
        <v>13</v>
      </c>
      <c r="G22" t="s">
        <v>11</v>
      </c>
      <c r="H22" t="s">
        <v>14</v>
      </c>
      <c r="J22" t="s">
        <v>28</v>
      </c>
    </row>
    <row r="23" spans="1:10" x14ac:dyDescent="0.25">
      <c r="A23" t="s">
        <v>16</v>
      </c>
      <c r="B23">
        <v>2022</v>
      </c>
      <c r="C23" s="1">
        <v>3196543</v>
      </c>
      <c r="D23" t="s">
        <v>11</v>
      </c>
      <c r="E23" t="s">
        <v>17</v>
      </c>
      <c r="F23" t="s">
        <v>13</v>
      </c>
      <c r="G23" t="s">
        <v>11</v>
      </c>
      <c r="H23" t="s">
        <v>18</v>
      </c>
      <c r="I23" t="s">
        <v>39</v>
      </c>
      <c r="J23" t="s">
        <v>40</v>
      </c>
    </row>
    <row r="24" spans="1:10" x14ac:dyDescent="0.25">
      <c r="A24" t="s">
        <v>24</v>
      </c>
      <c r="B24">
        <v>2021</v>
      </c>
      <c r="C24" s="1">
        <v>420771</v>
      </c>
      <c r="D24" t="s">
        <v>11</v>
      </c>
      <c r="E24" t="s">
        <v>17</v>
      </c>
      <c r="F24" t="s">
        <v>13</v>
      </c>
      <c r="G24" t="s">
        <v>11</v>
      </c>
      <c r="H24" t="s">
        <v>25</v>
      </c>
      <c r="J24" t="s">
        <v>26</v>
      </c>
    </row>
    <row r="25" spans="1:10" x14ac:dyDescent="0.25">
      <c r="A25" t="s">
        <v>46</v>
      </c>
      <c r="B25">
        <v>2021</v>
      </c>
      <c r="C25" s="1">
        <v>30000</v>
      </c>
      <c r="D25" t="s">
        <v>11</v>
      </c>
      <c r="E25" t="s">
        <v>12</v>
      </c>
      <c r="F25" t="s">
        <v>13</v>
      </c>
      <c r="G25" t="s">
        <v>11</v>
      </c>
      <c r="H25" t="s">
        <v>47</v>
      </c>
      <c r="I25" t="s">
        <v>48</v>
      </c>
      <c r="J25" t="s">
        <v>49</v>
      </c>
    </row>
    <row r="26" spans="1:10" x14ac:dyDescent="0.25">
      <c r="A26" t="s">
        <v>50</v>
      </c>
      <c r="B26">
        <v>2021</v>
      </c>
      <c r="C26" s="1">
        <v>20000</v>
      </c>
      <c r="D26" t="s">
        <v>11</v>
      </c>
      <c r="E26" t="s">
        <v>12</v>
      </c>
      <c r="F26" t="s">
        <v>13</v>
      </c>
      <c r="G26" t="s">
        <v>11</v>
      </c>
      <c r="H26" t="s">
        <v>14</v>
      </c>
      <c r="I26" t="s">
        <v>36</v>
      </c>
      <c r="J26" t="s">
        <v>51</v>
      </c>
    </row>
    <row r="27" spans="1:10" x14ac:dyDescent="0.25">
      <c r="A27" t="s">
        <v>42</v>
      </c>
      <c r="B27">
        <v>2021</v>
      </c>
      <c r="C27" s="1">
        <v>75000</v>
      </c>
      <c r="D27" t="s">
        <v>11</v>
      </c>
      <c r="E27" t="s">
        <v>17</v>
      </c>
      <c r="H27" t="s">
        <v>43</v>
      </c>
      <c r="I27" t="s">
        <v>36</v>
      </c>
      <c r="J27" t="s">
        <v>44</v>
      </c>
    </row>
    <row r="28" spans="1:10" x14ac:dyDescent="0.25">
      <c r="A28" t="s">
        <v>34</v>
      </c>
      <c r="B28">
        <v>2021</v>
      </c>
      <c r="C28" s="1">
        <v>33544</v>
      </c>
      <c r="D28" t="s">
        <v>11</v>
      </c>
      <c r="E28" t="s">
        <v>17</v>
      </c>
      <c r="F28" t="s">
        <v>13</v>
      </c>
      <c r="G28" t="s">
        <v>11</v>
      </c>
      <c r="H28" t="s">
        <v>18</v>
      </c>
      <c r="J28" t="s">
        <v>35</v>
      </c>
    </row>
    <row r="29" spans="1:10" x14ac:dyDescent="0.25">
      <c r="A29" t="s">
        <v>27</v>
      </c>
      <c r="B29">
        <v>2021</v>
      </c>
      <c r="C29" s="1">
        <v>58000</v>
      </c>
      <c r="D29" t="s">
        <v>11</v>
      </c>
      <c r="E29" t="s">
        <v>12</v>
      </c>
      <c r="F29" t="s">
        <v>13</v>
      </c>
      <c r="G29" t="s">
        <v>11</v>
      </c>
      <c r="H29" t="s">
        <v>14</v>
      </c>
      <c r="I29" t="s">
        <v>19</v>
      </c>
      <c r="J29" t="s">
        <v>45</v>
      </c>
    </row>
    <row r="30" spans="1:10" x14ac:dyDescent="0.25">
      <c r="A30" t="s">
        <v>16</v>
      </c>
      <c r="B30">
        <v>2021</v>
      </c>
      <c r="C30" s="1">
        <v>2530610</v>
      </c>
      <c r="D30" t="s">
        <v>11</v>
      </c>
      <c r="E30" t="s">
        <v>17</v>
      </c>
      <c r="F30" t="s">
        <v>13</v>
      </c>
      <c r="G30" t="s">
        <v>11</v>
      </c>
      <c r="H30" t="s">
        <v>18</v>
      </c>
      <c r="I30" t="s">
        <v>39</v>
      </c>
      <c r="J30" t="s">
        <v>40</v>
      </c>
    </row>
    <row r="31" spans="1:10" x14ac:dyDescent="0.25">
      <c r="A31" t="s">
        <v>53</v>
      </c>
      <c r="B31">
        <v>2020</v>
      </c>
      <c r="C31" s="1">
        <v>180000</v>
      </c>
      <c r="D31" t="s">
        <v>11</v>
      </c>
      <c r="E31" t="s">
        <v>17</v>
      </c>
      <c r="F31" t="s">
        <v>13</v>
      </c>
      <c r="G31" t="s">
        <v>11</v>
      </c>
      <c r="H31" t="s">
        <v>47</v>
      </c>
      <c r="J31" t="s">
        <v>54</v>
      </c>
    </row>
    <row r="32" spans="1:10" x14ac:dyDescent="0.25">
      <c r="A32" t="s">
        <v>24</v>
      </c>
      <c r="B32">
        <v>2020</v>
      </c>
      <c r="C32" s="1">
        <v>410217</v>
      </c>
      <c r="D32" t="s">
        <v>11</v>
      </c>
      <c r="E32" t="s">
        <v>17</v>
      </c>
      <c r="F32" t="s">
        <v>13</v>
      </c>
      <c r="G32" t="s">
        <v>11</v>
      </c>
      <c r="H32" t="s">
        <v>25</v>
      </c>
      <c r="J32" t="s">
        <v>52</v>
      </c>
    </row>
    <row r="33" spans="1:10" x14ac:dyDescent="0.25">
      <c r="A33" t="s">
        <v>46</v>
      </c>
      <c r="B33">
        <v>2020</v>
      </c>
      <c r="C33" s="1">
        <v>30000</v>
      </c>
      <c r="D33" t="s">
        <v>11</v>
      </c>
      <c r="E33" t="s">
        <v>12</v>
      </c>
      <c r="F33" t="s">
        <v>13</v>
      </c>
      <c r="G33" t="s">
        <v>11</v>
      </c>
      <c r="H33" t="s">
        <v>47</v>
      </c>
      <c r="I33" t="s">
        <v>48</v>
      </c>
      <c r="J33" t="s">
        <v>49</v>
      </c>
    </row>
    <row r="34" spans="1:10" x14ac:dyDescent="0.25">
      <c r="A34" t="s">
        <v>42</v>
      </c>
      <c r="B34">
        <v>2020</v>
      </c>
      <c r="C34" s="1">
        <v>60000</v>
      </c>
      <c r="D34" t="s">
        <v>11</v>
      </c>
      <c r="E34" t="s">
        <v>17</v>
      </c>
      <c r="H34" t="s">
        <v>56</v>
      </c>
    </row>
    <row r="35" spans="1:10" x14ac:dyDescent="0.25">
      <c r="A35" t="s">
        <v>34</v>
      </c>
      <c r="B35">
        <v>2020</v>
      </c>
      <c r="C35" s="1">
        <v>22566</v>
      </c>
      <c r="D35" t="s">
        <v>11</v>
      </c>
      <c r="E35" t="s">
        <v>17</v>
      </c>
      <c r="F35" t="s">
        <v>13</v>
      </c>
      <c r="G35" t="s">
        <v>11</v>
      </c>
      <c r="H35" t="s">
        <v>18</v>
      </c>
      <c r="J35" t="s">
        <v>57</v>
      </c>
    </row>
    <row r="36" spans="1:10" x14ac:dyDescent="0.25">
      <c r="A36" t="s">
        <v>27</v>
      </c>
      <c r="B36">
        <v>2020</v>
      </c>
      <c r="C36" s="1">
        <v>32500</v>
      </c>
      <c r="D36" t="s">
        <v>11</v>
      </c>
      <c r="E36" t="s">
        <v>12</v>
      </c>
      <c r="F36" t="s">
        <v>13</v>
      </c>
      <c r="G36" t="s">
        <v>11</v>
      </c>
      <c r="H36" t="s">
        <v>14</v>
      </c>
      <c r="I36" t="s">
        <v>19</v>
      </c>
      <c r="J36" t="s">
        <v>45</v>
      </c>
    </row>
    <row r="37" spans="1:10" x14ac:dyDescent="0.25">
      <c r="A37" t="s">
        <v>16</v>
      </c>
      <c r="B37">
        <v>2020</v>
      </c>
      <c r="C37" s="1">
        <v>74314</v>
      </c>
      <c r="D37" t="s">
        <v>11</v>
      </c>
      <c r="E37" t="s">
        <v>17</v>
      </c>
      <c r="F37" t="s">
        <v>13</v>
      </c>
      <c r="G37" t="s">
        <v>11</v>
      </c>
      <c r="H37" t="s">
        <v>21</v>
      </c>
      <c r="J37" t="s">
        <v>55</v>
      </c>
    </row>
    <row r="38" spans="1:10" x14ac:dyDescent="0.25">
      <c r="A38" t="s">
        <v>53</v>
      </c>
      <c r="B38">
        <v>2019</v>
      </c>
      <c r="C38" s="1">
        <v>108000</v>
      </c>
      <c r="D38" t="s">
        <v>11</v>
      </c>
      <c r="E38" t="s">
        <v>17</v>
      </c>
      <c r="F38" t="s">
        <v>13</v>
      </c>
      <c r="G38" t="s">
        <v>11</v>
      </c>
      <c r="H38" t="s">
        <v>18</v>
      </c>
      <c r="J38" t="s">
        <v>59</v>
      </c>
    </row>
    <row r="39" spans="1:10" x14ac:dyDescent="0.25">
      <c r="A39" t="s">
        <v>37</v>
      </c>
      <c r="B39">
        <v>2019</v>
      </c>
      <c r="C39" s="1">
        <v>21500</v>
      </c>
      <c r="D39" t="s">
        <v>11</v>
      </c>
      <c r="E39" t="s">
        <v>17</v>
      </c>
      <c r="F39" t="s">
        <v>13</v>
      </c>
      <c r="G39" t="s">
        <v>11</v>
      </c>
      <c r="H39" t="s">
        <v>14</v>
      </c>
      <c r="J39" t="s">
        <v>60</v>
      </c>
    </row>
    <row r="40" spans="1:10" x14ac:dyDescent="0.25">
      <c r="A40" t="s">
        <v>24</v>
      </c>
      <c r="B40">
        <v>2019</v>
      </c>
      <c r="C40" s="1">
        <v>641322</v>
      </c>
      <c r="D40" t="s">
        <v>11</v>
      </c>
      <c r="E40" t="s">
        <v>17</v>
      </c>
      <c r="F40" t="s">
        <v>13</v>
      </c>
      <c r="G40" t="s">
        <v>11</v>
      </c>
      <c r="H40" t="s">
        <v>25</v>
      </c>
      <c r="J40" t="s">
        <v>58</v>
      </c>
    </row>
    <row r="41" spans="1:10" x14ac:dyDescent="0.25">
      <c r="A41" t="s">
        <v>34</v>
      </c>
      <c r="B41">
        <v>2019</v>
      </c>
      <c r="C41" s="1">
        <v>47426</v>
      </c>
      <c r="D41" t="s">
        <v>11</v>
      </c>
      <c r="E41" t="s">
        <v>17</v>
      </c>
      <c r="F41" t="s">
        <v>13</v>
      </c>
      <c r="G41" t="s">
        <v>11</v>
      </c>
      <c r="H41" t="s">
        <v>18</v>
      </c>
      <c r="J41" t="s">
        <v>57</v>
      </c>
    </row>
    <row r="42" spans="1:10" x14ac:dyDescent="0.25">
      <c r="A42" t="s">
        <v>53</v>
      </c>
      <c r="B42">
        <v>2018</v>
      </c>
      <c r="C42" s="1">
        <v>30000</v>
      </c>
      <c r="D42" t="s">
        <v>11</v>
      </c>
      <c r="E42" t="s">
        <v>17</v>
      </c>
      <c r="F42" t="s">
        <v>13</v>
      </c>
      <c r="G42" t="s">
        <v>11</v>
      </c>
      <c r="H42" t="s">
        <v>47</v>
      </c>
      <c r="J42" t="s">
        <v>54</v>
      </c>
    </row>
    <row r="43" spans="1:10" x14ac:dyDescent="0.25">
      <c r="A43" t="s">
        <v>34</v>
      </c>
      <c r="B43">
        <v>2018</v>
      </c>
      <c r="C43" s="1">
        <v>27755</v>
      </c>
      <c r="D43" t="s">
        <v>11</v>
      </c>
      <c r="E43" t="s">
        <v>17</v>
      </c>
      <c r="F43" t="s">
        <v>13</v>
      </c>
      <c r="G43" t="s">
        <v>11</v>
      </c>
      <c r="H43" t="s">
        <v>18</v>
      </c>
      <c r="J43" t="s">
        <v>35</v>
      </c>
    </row>
    <row r="44" spans="1:10" x14ac:dyDescent="0.25">
      <c r="B44" s="2" t="s">
        <v>61</v>
      </c>
      <c r="C44" s="3">
        <f>SUM(C2:C43)</f>
        <v>11908475</v>
      </c>
    </row>
  </sheetData>
  <autoFilter ref="A1:J43" xr:uid="{02FA05B7-A821-4631-8435-5268D68AF526}">
    <sortState xmlns:xlrd2="http://schemas.microsoft.com/office/spreadsheetml/2017/richdata2" ref="A2:J43">
      <sortCondition descending="1" ref="B1:B43"/>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C6D6572614A874CBFDA63264623FDAC" ma:contentTypeVersion="13" ma:contentTypeDescription="Create a new document." ma:contentTypeScope="" ma:versionID="c6b23fbdf6ff567d36249fce4e31195a">
  <xsd:schema xmlns:xsd="http://www.w3.org/2001/XMLSchema" xmlns:xs="http://www.w3.org/2001/XMLSchema" xmlns:p="http://schemas.microsoft.com/office/2006/metadata/properties" xmlns:ns2="cf3f06be-d2bb-430b-9a15-b6879cae20f9" xmlns:ns3="99a609a0-1e30-451b-9a26-3e1786710c61" targetNamespace="http://schemas.microsoft.com/office/2006/metadata/properties" ma:root="true" ma:fieldsID="b966902cba7fe38ce1f3b687b08ea80c" ns2:_="" ns3:_="">
    <xsd:import namespace="cf3f06be-d2bb-430b-9a15-b6879cae20f9"/>
    <xsd:import namespace="99a609a0-1e30-451b-9a26-3e1786710c6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3:SharedWithUsers" minOccurs="0"/>
                <xsd:element ref="ns3:SharedWithDetails"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f3f06be-d2bb-430b-9a15-b6879cae20f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e2ef0154-aede-4344-9263-f4b6531617a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9a609a0-1e30-451b-9a26-3e1786710c61"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6" nillable="true" ma:displayName="Taxonomy Catch All Column" ma:hidden="true" ma:list="{29d547a4-f4ab-4804-800a-138b1be74917}" ma:internalName="TaxCatchAll" ma:showField="CatchAllData" ma:web="99a609a0-1e30-451b-9a26-3e1786710c6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99a609a0-1e30-451b-9a26-3e1786710c61" xsi:nil="true"/>
    <lcf76f155ced4ddcb4097134ff3c332f xmlns="cf3f06be-d2bb-430b-9a15-b6879cae20f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632B426-1C0C-4C50-97E7-921F9E4557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f3f06be-d2bb-430b-9a15-b6879cae20f9"/>
    <ds:schemaRef ds:uri="99a609a0-1e30-451b-9a26-3e1786710c6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12F67723-89B2-4A87-8C5F-CFF33691873F}">
  <ds:schemaRefs>
    <ds:schemaRef ds:uri="http://schemas.microsoft.com/sharepoint/v3/contenttype/forms"/>
  </ds:schemaRefs>
</ds:datastoreItem>
</file>

<file path=customXml/itemProps3.xml><?xml version="1.0" encoding="utf-8"?>
<ds:datastoreItem xmlns:ds="http://schemas.openxmlformats.org/officeDocument/2006/customXml" ds:itemID="{2AA8D95D-19E9-44EA-9696-791B04F0F9F4}">
  <ds:schemaRefs>
    <ds:schemaRef ds:uri="http://schemas.microsoft.com/office/infopath/2007/PartnerControls"/>
    <ds:schemaRef ds:uri="http://purl.org/dc/terms/"/>
    <ds:schemaRef ds:uri="http://schemas.microsoft.com/office/2006/documentManagement/types"/>
    <ds:schemaRef ds:uri="http://schemas.openxmlformats.org/package/2006/metadata/core-properties"/>
    <ds:schemaRef ds:uri="http://purl.org/dc/dcmitype/"/>
    <ds:schemaRef ds:uri="http://schemas.microsoft.com/office/2006/metadata/properties"/>
    <ds:schemaRef ds:uri="http://purl.org/dc/elements/1.1/"/>
    <ds:schemaRef ds:uri="99a609a0-1e30-451b-9a26-3e1786710c61"/>
    <ds:schemaRef ds:uri="cf3f06be-d2bb-430b-9a15-b6879cae20f9"/>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Kai Toppa</cp:lastModifiedBy>
  <dcterms:created xsi:type="dcterms:W3CDTF">2026-01-21T15:07:31Z</dcterms:created>
  <dcterms:modified xsi:type="dcterms:W3CDTF">2026-01-21T15:14:26Z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0x0101006C6D6572614A874CBFDA63264623FDAC</vt:lpwstr>
  </property>
  <property fmtid="{D5CDD505-2E9C-101B-9397-08002B2CF9AE}" pid="3" name="MediaServiceImageTags">
    <vt:lpwstr/>
  </property>
</Properties>
</file>
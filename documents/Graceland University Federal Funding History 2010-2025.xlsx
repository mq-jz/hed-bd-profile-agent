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q.sharepoint.com/sites/HEDBDRP/Shared Documents/BD Profiles/"/>
    </mc:Choice>
  </mc:AlternateContent>
  <xr:revisionPtr revIDLastSave="35" documentId="8_{D6E04481-7486-476D-9D58-B34621D15A1B}" xr6:coauthVersionLast="47" xr6:coauthVersionMax="47" xr10:uidLastSave="{ABA55F46-44F1-4E79-BA05-4B0E47AE0E4F}"/>
  <bookViews>
    <workbookView minimized="1" xWindow="11052" yWindow="5172" windowWidth="24588" windowHeight="20616" xr2:uid="{FA88F3B1-42ED-43A2-AC2D-5B7B1CFB3A8E}"/>
  </bookViews>
  <sheets>
    <sheet name="grant-01-05-26-17-37-37" sheetId="1" r:id="rId1"/>
  </sheets>
  <definedNames>
    <definedName name="_xlnm._FilterDatabase" localSheetId="0" hidden="1">'grant-01-05-26-17-37-37'!$A$1:$J$16</definedName>
  </definedNames>
  <calcPr calcId="0"/>
</workbook>
</file>

<file path=xl/calcChain.xml><?xml version="1.0" encoding="utf-8"?>
<calcChain xmlns="http://schemas.openxmlformats.org/spreadsheetml/2006/main">
  <c r="D16" i="1" l="1"/>
</calcChain>
</file>

<file path=xl/sharedStrings.xml><?xml version="1.0" encoding="utf-8"?>
<sst xmlns="http://schemas.openxmlformats.org/spreadsheetml/2006/main" count="122" uniqueCount="63">
  <si>
    <t>Award ID</t>
  </si>
  <si>
    <t>Awardee Name</t>
  </si>
  <si>
    <t>Period Of Performance Start Date</t>
  </si>
  <si>
    <t>Federal Funding Amount</t>
  </si>
  <si>
    <t>Original Description</t>
  </si>
  <si>
    <t>Awarding Agency</t>
  </si>
  <si>
    <t>Top Level Awarding Agency</t>
  </si>
  <si>
    <t>Program Title</t>
  </si>
  <si>
    <t>Assistance Type Description Long</t>
  </si>
  <si>
    <t>Site Page</t>
  </si>
  <si>
    <t>P044A210066</t>
  </si>
  <si>
    <t>Graceland University</t>
  </si>
  <si>
    <t>Graceland University talent search.</t>
  </si>
  <si>
    <t>Office of Postsecondary Education</t>
  </si>
  <si>
    <t>Department of Education</t>
  </si>
  <si>
    <t>TRIO Talent Search</t>
  </si>
  <si>
    <t>Project Grant</t>
  </si>
  <si>
    <t>https://www.highergov.com/grant/P044A210066</t>
  </si>
  <si>
    <t>E0145820</t>
  </si>
  <si>
    <t>Nurse faculty loan program</t>
  </si>
  <si>
    <t>HRSA Office of Federal Assistance Management</t>
  </si>
  <si>
    <t>Department of Health and Human Services</t>
  </si>
  <si>
    <t>Nurse Faculty Loan Program (NFLP)</t>
  </si>
  <si>
    <t>https://www.highergov.com/grant/E0145820</t>
  </si>
  <si>
    <t>P042A251082</t>
  </si>
  <si>
    <t>Graceland University TRIO Student Support Services</t>
  </si>
  <si>
    <t>TRIO Student Support Services</t>
  </si>
  <si>
    <t>https://www.highergov.com/grant/P042A251082</t>
  </si>
  <si>
    <t>23SREIA004</t>
  </si>
  <si>
    <t>This award funds the approved 2023-24 RSVP program. 
Your 2023-24 statutory match is 30% and your budgetary match is 34.35%.
This award reduces the 2023-24 program year by three months for the purpose of aligning the award with non-stipend program start dates. 
The 2024-25 program year grant will have an April 1 start date.</t>
  </si>
  <si>
    <t>AmeriCorps</t>
  </si>
  <si>
    <t>AmeriCorps Seniors Retired and Senior Volunteer Program (RSVP) 94.002</t>
  </si>
  <si>
    <t>https://www.highergov.com/grant/23SREIA004</t>
  </si>
  <si>
    <t>P042A200937</t>
  </si>
  <si>
    <t>Graceland University student support services</t>
  </si>
  <si>
    <t>https://www.highergov.com/grant/P042A200937</t>
  </si>
  <si>
    <t>20SRNIA003</t>
  </si>
  <si>
    <t>With a primary focus area of education, an estimated 144 RSVP volunteers will serve in a rural four-county region in south central Iowa. Of this number, 127 RSVP volunteers will be placed in outcome assignments.
Volunteer activities will include tutoring in preschools, learning centers, and K-12 schools; serving as pen pals; assisting resale stores with donations management; educating the community about fraud; and serving in other community programs.
At the end of the three-year grant, 10 volunteers will be building school readiness skills in 25 preschoolers; 91 volunteers will improve academic engagement or social/emotional skills in 175 youth; 6 volunteers will improve the financial knowledge of 40 seniors; 20 volunteers will increase the effectiveness, efficiency, and reach of 4 organizations; and 17 volunteers will assist community programs to help them thrive and meet community needs.
The CNCS federal investment of $126,529 will be supplemented by a $60,861 match.</t>
  </si>
  <si>
    <t>https://www.highergov.com/grant/20SRNIA003</t>
  </si>
  <si>
    <t>P044A160084</t>
  </si>
  <si>
    <t>Talent search program</t>
  </si>
  <si>
    <t>https://www.highergov.com/grant/P044A160084</t>
  </si>
  <si>
    <t>17SRNIA003</t>
  </si>
  <si>
    <t>Southern Iowa RSVP will engage 144 volunteers, 55 and older, who will inspire youth in rural Southern Iowa to be successful, contributing members of their communities. This economically depressed rural Iowa region covers 1,930 square miles and includes eight school districts in Clarke, Decatur, Ringgold, and Union counties.
Utilizing a highly qualified program director and eight dedicated site coordinators who are intimately acquainted with the communities they will serve, Southern Iowa RSVP will prepare children for school and guide students to educational success, which will help transform the communities of South Central Iowa. The primary focus area is education, including intergenerational programming.
One hundred four (104) RSVP volunteers will experience an increased sense of purpose as they serve in early childhood centers and school districts to enhance school readiness and K-12 success with an emphasis on literacy and math. Southern Iowa RSVP volunteers will read with babies, introduce and build literacy and math skills, help students gain phonological awareness and book knowledge, mentor individual students, and strengthen community through their support of family activities and community organizations.
A high-quality program design with aligned outcomes, delivered by highly qualified and committed seniors, will ensure program success. The CNCS federal investment of $119,029 will leverage other resources including $15,662 of non-federal cash resources from the state of Iowa, and the Graceland University indirect contribution of $53,876.
At the end of the three-year grant period, 175 engaged volunteers will have helped prepare nearly 500 children and students for entrance and success in school, elevating the ability of these young people to transform communities in the heart of America.</t>
  </si>
  <si>
    <t>https://www.highergov.com/grant/17SRNIA003</t>
  </si>
  <si>
    <t>P042A150144</t>
  </si>
  <si>
    <t>Student support services program</t>
  </si>
  <si>
    <t>https://www.highergov.com/grant/P042A150144</t>
  </si>
  <si>
    <t>14SRNIA009</t>
  </si>
  <si>
    <t>ENGAGES PERSONS 55 AND OLDER IN VOLUNTEER SERVICE IN THEIR COMMUNITIES</t>
  </si>
  <si>
    <t>https://www.highergov.com/grant/14SRNIA009</t>
  </si>
  <si>
    <t>16SRNIA004</t>
  </si>
  <si>
    <t>https://www.highergov.com/grant/16SRNIA004</t>
  </si>
  <si>
    <t>P044A110219</t>
  </si>
  <si>
    <t>TALENT SEARCH PROGRAM</t>
  </si>
  <si>
    <t>https://www.highergov.com/grant/P044A110219</t>
  </si>
  <si>
    <t>P042A100028</t>
  </si>
  <si>
    <t>STUDENT SUPPORT SERVICES PROGRAM</t>
  </si>
  <si>
    <t>https://www.highergov.com/grant/P042A100028</t>
  </si>
  <si>
    <t>P047A070320</t>
  </si>
  <si>
    <t>UPWARD BOUND PROGRAM</t>
  </si>
  <si>
    <t>TRIO Upward Bound</t>
  </si>
  <si>
    <t>https://www.highergov.com/grant/P047A070320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</si>
</sst>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quot;$&quot;* #,##0_);_(&quot;$&quot;* \(#,##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applyAlignment="1">
      <alignment wrapText="1"/>
    </xf>
    <xf numFmtId="0" fontId="16" fillId="0" borderId="0" xfId="0" applyFont="1"/>
    <xf numFmtId="42" fontId="16" fillId="0" borderId="0" xfId="0" applyNumberFormat="1" applyFont="1"/>
    <xf numFmtId="4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C666A-0A62-42C2-BC5C-36D679E787D0}">
  <sheetPr filterMode="1"/>
  <dimension ref="A1:J16"/>
  <sheetViews>
    <sheetView tabSelected="1" topLeftCell="C1" workbookViewId="0">
      <selection activeCell="D7" sqref="D7"/>
    </sheetView>
  </sheetViews>
  <sheetFormatPr defaultColWidth="16.6640625" defaultRowHeight="16.2" customHeight="1" x14ac:dyDescent="0.3"/>
  <cols>
    <col min="2" max="2" width="17.77734375" bestFit="1" customWidth="1"/>
    <col min="3" max="3" width="11.44140625" customWidth="1"/>
    <col min="4" max="4" width="21.33203125" style="5" bestFit="1" customWidth="1"/>
    <col min="5" max="5" width="39.88671875" customWidth="1"/>
    <col min="6" max="6" width="41.5546875" customWidth="1"/>
    <col min="7" max="7" width="35.44140625" bestFit="1" customWidth="1"/>
    <col min="8" max="8" width="39.77734375" bestFit="1" customWidth="1"/>
    <col min="9" max="9" width="28.77734375" bestFit="1" customWidth="1"/>
    <col min="10" max="10" width="45.109375" bestFit="1" customWidth="1"/>
  </cols>
  <sheetData>
    <row r="1" spans="1:10" s="3" customFormat="1" ht="16.2" customHeight="1" x14ac:dyDescent="0.3">
      <c r="A1" s="3" t="s">
        <v>0</v>
      </c>
      <c r="B1" s="3" t="s">
        <v>1</v>
      </c>
      <c r="C1" s="3" t="s">
        <v>2</v>
      </c>
      <c r="D1" s="4" t="s">
        <v>3</v>
      </c>
      <c r="E1" s="3" t="s">
        <v>7</v>
      </c>
      <c r="F1" s="3" t="s">
        <v>4</v>
      </c>
      <c r="G1" s="3" t="s">
        <v>6</v>
      </c>
      <c r="H1" s="3" t="s">
        <v>5</v>
      </c>
      <c r="I1" s="3" t="s">
        <v>8</v>
      </c>
      <c r="J1" s="3" t="s">
        <v>9</v>
      </c>
    </row>
    <row r="2" spans="1:10" ht="16.2" hidden="1" customHeight="1" x14ac:dyDescent="0.3">
      <c r="A2" t="s">
        <v>28</v>
      </c>
      <c r="B2" t="s">
        <v>11</v>
      </c>
      <c r="C2" s="1">
        <v>45108</v>
      </c>
      <c r="D2" s="5">
        <v>350761</v>
      </c>
      <c r="E2" t="s">
        <v>31</v>
      </c>
      <c r="F2" s="2" t="s">
        <v>29</v>
      </c>
      <c r="G2" t="s">
        <v>30</v>
      </c>
      <c r="H2" t="s">
        <v>30</v>
      </c>
      <c r="I2" t="s">
        <v>16</v>
      </c>
      <c r="J2" t="s">
        <v>32</v>
      </c>
    </row>
    <row r="3" spans="1:10" ht="16.2" hidden="1" customHeight="1" x14ac:dyDescent="0.3">
      <c r="A3" t="s">
        <v>36</v>
      </c>
      <c r="B3" t="s">
        <v>11</v>
      </c>
      <c r="C3" s="1">
        <v>44013</v>
      </c>
      <c r="D3" s="5">
        <v>361494.26</v>
      </c>
      <c r="E3" t="s">
        <v>31</v>
      </c>
      <c r="F3" s="2" t="s">
        <v>37</v>
      </c>
      <c r="G3" t="s">
        <v>30</v>
      </c>
      <c r="H3" t="s">
        <v>30</v>
      </c>
      <c r="I3" t="s">
        <v>16</v>
      </c>
      <c r="J3" t="s">
        <v>38</v>
      </c>
    </row>
    <row r="4" spans="1:10" ht="16.2" hidden="1" customHeight="1" x14ac:dyDescent="0.3">
      <c r="A4" t="s">
        <v>42</v>
      </c>
      <c r="B4" t="s">
        <v>11</v>
      </c>
      <c r="C4" s="1">
        <v>42979</v>
      </c>
      <c r="D4" s="5">
        <v>335983.99</v>
      </c>
      <c r="E4" t="s">
        <v>31</v>
      </c>
      <c r="F4" s="2" t="s">
        <v>43</v>
      </c>
      <c r="G4" t="s">
        <v>30</v>
      </c>
      <c r="H4" t="s">
        <v>30</v>
      </c>
      <c r="I4" t="s">
        <v>16</v>
      </c>
      <c r="J4" t="s">
        <v>44</v>
      </c>
    </row>
    <row r="5" spans="1:10" ht="16.2" hidden="1" customHeight="1" x14ac:dyDescent="0.3">
      <c r="A5" t="s">
        <v>51</v>
      </c>
      <c r="B5" t="s">
        <v>11</v>
      </c>
      <c r="C5" s="1">
        <v>42552</v>
      </c>
      <c r="D5" s="5">
        <v>3500</v>
      </c>
      <c r="E5" t="s">
        <v>31</v>
      </c>
      <c r="F5" t="s">
        <v>49</v>
      </c>
      <c r="G5" t="s">
        <v>30</v>
      </c>
      <c r="H5" t="s">
        <v>30</v>
      </c>
      <c r="I5" t="s">
        <v>16</v>
      </c>
      <c r="J5" t="s">
        <v>52</v>
      </c>
    </row>
    <row r="6" spans="1:10" ht="16.2" hidden="1" customHeight="1" x14ac:dyDescent="0.3">
      <c r="A6" t="s">
        <v>48</v>
      </c>
      <c r="B6" t="s">
        <v>11</v>
      </c>
      <c r="C6" s="1">
        <v>41821</v>
      </c>
      <c r="D6" s="5">
        <v>5500</v>
      </c>
      <c r="E6" t="s">
        <v>31</v>
      </c>
      <c r="F6" t="s">
        <v>49</v>
      </c>
      <c r="G6" t="s">
        <v>30</v>
      </c>
      <c r="H6" t="s">
        <v>30</v>
      </c>
      <c r="I6" t="s">
        <v>16</v>
      </c>
      <c r="J6" t="s">
        <v>50</v>
      </c>
    </row>
    <row r="7" spans="1:10" ht="16.2" customHeight="1" x14ac:dyDescent="0.3">
      <c r="A7" t="s">
        <v>18</v>
      </c>
      <c r="B7" t="s">
        <v>11</v>
      </c>
      <c r="C7" s="1">
        <v>44743</v>
      </c>
      <c r="D7" s="5">
        <v>207100</v>
      </c>
      <c r="E7" t="s">
        <v>22</v>
      </c>
      <c r="F7" t="s">
        <v>19</v>
      </c>
      <c r="G7" t="s">
        <v>21</v>
      </c>
      <c r="H7" t="s">
        <v>20</v>
      </c>
      <c r="I7" t="s">
        <v>16</v>
      </c>
      <c r="J7" t="s">
        <v>23</v>
      </c>
    </row>
    <row r="8" spans="1:10" ht="16.2" hidden="1" customHeight="1" x14ac:dyDescent="0.3">
      <c r="A8" t="s">
        <v>24</v>
      </c>
      <c r="B8" t="s">
        <v>11</v>
      </c>
      <c r="C8" s="1">
        <v>45901</v>
      </c>
      <c r="D8" s="5">
        <v>361922</v>
      </c>
      <c r="E8" t="s">
        <v>26</v>
      </c>
      <c r="F8" t="s">
        <v>25</v>
      </c>
      <c r="G8" t="s">
        <v>14</v>
      </c>
      <c r="H8" t="s">
        <v>13</v>
      </c>
      <c r="I8" t="s">
        <v>16</v>
      </c>
      <c r="J8" t="s">
        <v>27</v>
      </c>
    </row>
    <row r="9" spans="1:10" ht="16.2" hidden="1" customHeight="1" x14ac:dyDescent="0.3">
      <c r="A9" t="s">
        <v>33</v>
      </c>
      <c r="B9" t="s">
        <v>11</v>
      </c>
      <c r="C9" s="1">
        <v>44075</v>
      </c>
      <c r="D9" s="5">
        <v>1767850</v>
      </c>
      <c r="E9" t="s">
        <v>26</v>
      </c>
      <c r="F9" t="s">
        <v>34</v>
      </c>
      <c r="G9" t="s">
        <v>14</v>
      </c>
      <c r="H9" t="s">
        <v>13</v>
      </c>
      <c r="I9" t="s">
        <v>16</v>
      </c>
      <c r="J9" t="s">
        <v>35</v>
      </c>
    </row>
    <row r="10" spans="1:10" ht="16.2" hidden="1" customHeight="1" x14ac:dyDescent="0.3">
      <c r="A10" t="s">
        <v>45</v>
      </c>
      <c r="B10" t="s">
        <v>11</v>
      </c>
      <c r="C10" s="1">
        <v>42248</v>
      </c>
      <c r="D10" s="5">
        <v>1560077</v>
      </c>
      <c r="E10" t="s">
        <v>26</v>
      </c>
      <c r="F10" t="s">
        <v>46</v>
      </c>
      <c r="G10" t="s">
        <v>14</v>
      </c>
      <c r="H10" t="s">
        <v>13</v>
      </c>
      <c r="I10" t="s">
        <v>16</v>
      </c>
      <c r="J10" t="s">
        <v>47</v>
      </c>
    </row>
    <row r="11" spans="1:10" ht="16.2" hidden="1" customHeight="1" x14ac:dyDescent="0.3">
      <c r="A11" t="s">
        <v>56</v>
      </c>
      <c r="B11" t="s">
        <v>11</v>
      </c>
      <c r="C11" s="1">
        <v>40422</v>
      </c>
      <c r="D11" s="5">
        <v>1153731.01</v>
      </c>
      <c r="E11" t="s">
        <v>26</v>
      </c>
      <c r="F11" t="s">
        <v>57</v>
      </c>
      <c r="G11" t="s">
        <v>14</v>
      </c>
      <c r="H11" t="s">
        <v>14</v>
      </c>
      <c r="I11" t="s">
        <v>16</v>
      </c>
      <c r="J11" t="s">
        <v>58</v>
      </c>
    </row>
    <row r="12" spans="1:10" ht="16.2" hidden="1" customHeight="1" x14ac:dyDescent="0.3">
      <c r="A12" t="s">
        <v>10</v>
      </c>
      <c r="B12" t="s">
        <v>11</v>
      </c>
      <c r="C12" s="1">
        <v>44440</v>
      </c>
      <c r="D12" s="5">
        <v>2209772</v>
      </c>
      <c r="E12" t="s">
        <v>15</v>
      </c>
      <c r="F12" t="s">
        <v>12</v>
      </c>
      <c r="G12" t="s">
        <v>14</v>
      </c>
      <c r="H12" t="s">
        <v>13</v>
      </c>
      <c r="I12" t="s">
        <v>16</v>
      </c>
      <c r="J12" t="s">
        <v>17</v>
      </c>
    </row>
    <row r="13" spans="1:10" ht="16.2" hidden="1" customHeight="1" x14ac:dyDescent="0.3">
      <c r="A13" t="s">
        <v>39</v>
      </c>
      <c r="B13" t="s">
        <v>11</v>
      </c>
      <c r="C13" s="1">
        <v>42614</v>
      </c>
      <c r="D13" s="5">
        <v>2043447.79</v>
      </c>
      <c r="E13" t="s">
        <v>15</v>
      </c>
      <c r="F13" t="s">
        <v>40</v>
      </c>
      <c r="G13" t="s">
        <v>14</v>
      </c>
      <c r="H13" t="s">
        <v>13</v>
      </c>
      <c r="I13" t="s">
        <v>16</v>
      </c>
      <c r="J13" t="s">
        <v>41</v>
      </c>
    </row>
    <row r="14" spans="1:10" ht="16.2" hidden="1" customHeight="1" x14ac:dyDescent="0.3">
      <c r="A14" t="s">
        <v>53</v>
      </c>
      <c r="B14" t="s">
        <v>11</v>
      </c>
      <c r="C14" s="1">
        <v>40787</v>
      </c>
      <c r="D14" s="5">
        <v>1638459</v>
      </c>
      <c r="E14" t="s">
        <v>15</v>
      </c>
      <c r="F14" t="s">
        <v>54</v>
      </c>
      <c r="G14" t="s">
        <v>14</v>
      </c>
      <c r="H14" t="s">
        <v>14</v>
      </c>
      <c r="I14" t="s">
        <v>16</v>
      </c>
      <c r="J14" t="s">
        <v>55</v>
      </c>
    </row>
    <row r="15" spans="1:10" ht="16.2" hidden="1" customHeight="1" x14ac:dyDescent="0.3">
      <c r="A15" t="s">
        <v>59</v>
      </c>
      <c r="B15" t="s">
        <v>11</v>
      </c>
      <c r="C15" s="1">
        <v>40787</v>
      </c>
      <c r="D15" s="5">
        <v>242071</v>
      </c>
      <c r="E15" t="s">
        <v>61</v>
      </c>
      <c r="F15" t="s">
        <v>60</v>
      </c>
      <c r="G15" t="s">
        <v>14</v>
      </c>
      <c r="H15" t="s">
        <v>14</v>
      </c>
      <c r="I15" t="s">
        <v>16</v>
      </c>
      <c r="J15" t="s">
        <v>62</v>
      </c>
    </row>
    <row r="16" spans="1:10" ht="16.2" customHeight="1" x14ac:dyDescent="0.3">
      <c r="D16" s="5">
        <f>SUM(D2:D15)</f>
        <v>12241669.050000001</v>
      </c>
    </row>
  </sheetData>
  <autoFilter ref="A1:J16" xr:uid="{511C666A-0A62-42C2-BC5C-36D679E787D0}">
    <filterColumn colId="2">
      <filters blank="1">
        <dateGroupItem year="2025" dateTimeGrouping="year"/>
        <dateGroupItem year="2023" dateTimeGrouping="year"/>
        <dateGroupItem year="2022" dateTimeGrouping="year"/>
        <dateGroupItem year="2021" dateTimeGrouping="year"/>
        <dateGroupItem year="2020" dateTimeGrouping="year"/>
        <dateGroupItem year="2017" dateTimeGrouping="year"/>
        <dateGroupItem year="2016" dateTimeGrouping="year"/>
        <dateGroupItem year="2015" dateTimeGrouping="year"/>
      </filters>
    </filterColumn>
    <filterColumn colId="4">
      <filters blank="1">
        <filter val="Nurse Faculty Loan Program (NFLP)"/>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6D6572614A874CBFDA63264623FDAC" ma:contentTypeVersion="13" ma:contentTypeDescription="Create a new document." ma:contentTypeScope="" ma:versionID="5044b038b3ffa86d2e537791645bf310">
  <xsd:schema xmlns:xsd="http://www.w3.org/2001/XMLSchema" xmlns:xs="http://www.w3.org/2001/XMLSchema" xmlns:p="http://schemas.microsoft.com/office/2006/metadata/properties" xmlns:ns2="cf3f06be-d2bb-430b-9a15-b6879cae20f9" xmlns:ns3="99a609a0-1e30-451b-9a26-3e1786710c61" targetNamespace="http://schemas.microsoft.com/office/2006/metadata/properties" ma:root="true" ma:fieldsID="502444c2f8a03528f6294127d0d79334" ns2:_="" ns3:_="">
    <xsd:import namespace="cf3f06be-d2bb-430b-9a15-b6879cae20f9"/>
    <xsd:import namespace="99a609a0-1e30-451b-9a26-3e1786710c6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f06be-d2bb-430b-9a15-b6879cae20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2ef0154-aede-4344-9263-f4b6531617a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9a609a0-1e30-451b-9a26-3e1786710c6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9d547a4-f4ab-4804-800a-138b1be74917}" ma:internalName="TaxCatchAll" ma:showField="CatchAllData" ma:web="99a609a0-1e30-451b-9a26-3e1786710c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9a609a0-1e30-451b-9a26-3e1786710c61" xsi:nil="true"/>
    <lcf76f155ced4ddcb4097134ff3c332f xmlns="cf3f06be-d2bb-430b-9a15-b6879cae20f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5F1D193-FE13-4531-B561-CC795BF9CF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3f06be-d2bb-430b-9a15-b6879cae20f9"/>
    <ds:schemaRef ds:uri="99a609a0-1e30-451b-9a26-3e1786710c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1EC8E99-6344-44E2-AB33-CB06C8A8F789}">
  <ds:schemaRefs>
    <ds:schemaRef ds:uri="http://schemas.microsoft.com/sharepoint/v3/contenttype/forms"/>
  </ds:schemaRefs>
</ds:datastoreItem>
</file>

<file path=customXml/itemProps3.xml><?xml version="1.0" encoding="utf-8"?>
<ds:datastoreItem xmlns:ds="http://schemas.openxmlformats.org/officeDocument/2006/customXml" ds:itemID="{7944E8C0-B55B-4170-A0CA-0631D386ACCE}">
  <ds:schemaRefs>
    <ds:schemaRef ds:uri="cf3f06be-d2bb-430b-9a15-b6879cae20f9"/>
    <ds:schemaRef ds:uri="http://schemas.microsoft.com/office/2006/documentManagement/types"/>
    <ds:schemaRef ds:uri="http://schemas.microsoft.com/office/2006/metadata/properties"/>
    <ds:schemaRef ds:uri="http://purl.org/dc/dcmitype/"/>
    <ds:schemaRef ds:uri="http://purl.org/dc/elements/1.1/"/>
    <ds:schemaRef ds:uri="99a609a0-1e30-451b-9a26-3e1786710c61"/>
    <ds:schemaRef ds:uri="http://schemas.microsoft.com/office/infopath/2007/PartnerControls"/>
    <ds:schemaRef ds:uri="http://purl.org/dc/terms/"/>
    <ds:schemaRef ds:uri="http://www.w3.org/XML/1998/namespace"/>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grant-01-05-26-17-37-37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Kai Toppa</cp:lastModifiedBy>
  <dcterms:created xsi:type="dcterms:W3CDTF">2026-01-05T17:38:10Z</dcterms:created>
  <dcterms:modified xsi:type="dcterms:W3CDTF">2026-01-05T18:00:11Z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0x0101006C6D6572614A874CBFDA63264623FDAC</vt:lpwstr>
  </property>
  <property fmtid="{D5CDD505-2E9C-101B-9397-08002B2CF9AE}" pid="3" name="MediaServiceImageTags">
    <vt:lpwstr/>
  </property>
</Properties>
</file>
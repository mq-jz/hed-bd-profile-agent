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q.sharepoint.com/sites/HEDBDRP/Shared Documents/BD Profiles/"/>
    </mc:Choice>
  </mc:AlternateContent>
  <xr:revisionPtr revIDLastSave="8" documentId="8_{1B97020B-7C94-46CC-B2FD-6071438BF293}" xr6:coauthVersionLast="47" xr6:coauthVersionMax="47" xr10:uidLastSave="{969DA6F3-AF63-4D0D-9DD3-867D219420A3}"/>
  <bookViews>
    <workbookView xWindow="22944" yWindow="0" windowWidth="23232" windowHeight="25296" xr2:uid="{F1194DF4-2821-4D0E-9DB3-0046BE039B40}"/>
  </bookViews>
  <sheets>
    <sheet name="data(25)" sheetId="1" r:id="rId1"/>
  </sheets>
  <calcPr calcId="0"/>
</workbook>
</file>

<file path=xl/calcChain.xml><?xml version="1.0" encoding="utf-8"?>
<calcChain xmlns="http://schemas.openxmlformats.org/spreadsheetml/2006/main">
  <c r="C72" i="1" l="1"/>
</calcChain>
</file>

<file path=xl/sharedStrings.xml><?xml version="1.0" encoding="utf-8"?>
<sst xmlns="http://schemas.openxmlformats.org/spreadsheetml/2006/main" count="536" uniqueCount="84">
  <si>
    <t>Grantmaker Name</t>
  </si>
  <si>
    <t>Grantmaker State</t>
  </si>
  <si>
    <t>Recipient Name</t>
  </si>
  <si>
    <t>Recipient City</t>
  </si>
  <si>
    <t>Recipient State/Country</t>
  </si>
  <si>
    <t>Primary Subject</t>
  </si>
  <si>
    <t>Year Authorized</t>
  </si>
  <si>
    <t>Grant Amount</t>
  </si>
  <si>
    <t>Support Strategies</t>
  </si>
  <si>
    <t>Description</t>
  </si>
  <si>
    <t>Melvin Douglas and Victoria Kay Ivester Foundation Inc</t>
  </si>
  <si>
    <t>GA</t>
  </si>
  <si>
    <t>Brenau University</t>
  </si>
  <si>
    <t>Gainesville</t>
  </si>
  <si>
    <t xml:space="preserve">Health </t>
  </si>
  <si>
    <t>Ivester CollegeOf Health Sciences</t>
  </si>
  <si>
    <t>Lettie Pate Whitehead Foundation Inc</t>
  </si>
  <si>
    <t xml:space="preserve">Nursing education </t>
  </si>
  <si>
    <t>Scholarships</t>
  </si>
  <si>
    <t>General undergraduate and undergraduate nursing scholarships</t>
  </si>
  <si>
    <t xml:space="preserve">University education </t>
  </si>
  <si>
    <t>Endowments</t>
  </si>
  <si>
    <t>Endowed Scholarhship Barnett/Skleder</t>
  </si>
  <si>
    <t>NORTH GEORGIA COMMUNITY FOUNDATION</t>
  </si>
  <si>
    <t>EDUCATION</t>
  </si>
  <si>
    <t>Brenau UniversityScholarships</t>
  </si>
  <si>
    <t>Lilly M Martin-Brenau Trust Uw</t>
  </si>
  <si>
    <t>AL</t>
  </si>
  <si>
    <t>General support</t>
  </si>
  <si>
    <t>GENERAL OPERATING</t>
  </si>
  <si>
    <t>Fuller E Callaway Professorial Chairs Trust</t>
  </si>
  <si>
    <t>TX</t>
  </si>
  <si>
    <t>The John &amp; Mary P Redwine Charitable Trust</t>
  </si>
  <si>
    <t>Algernon Sydney Sullivan Foundation</t>
  </si>
  <si>
    <t>MS</t>
  </si>
  <si>
    <t>EDUCATIONAL</t>
  </si>
  <si>
    <t>The Ray M and Mary E Lee Foundation</t>
  </si>
  <si>
    <t>General Operating</t>
  </si>
  <si>
    <t xml:space="preserve">Education </t>
  </si>
  <si>
    <t>For general scholarship support.</t>
  </si>
  <si>
    <t>Brenau UniversityAthletic Department</t>
  </si>
  <si>
    <t>Georgia Independent College Association Inc</t>
  </si>
  <si>
    <t xml:space="preserve">Higher education </t>
  </si>
  <si>
    <t>TO PROVIDE SUPPORT FOR PRIVATE COLLEGES AND UNIVERSITIES IN GEORGIA</t>
  </si>
  <si>
    <t>Fidelity Investments Charitable Gift Fund</t>
  </si>
  <si>
    <t>MA</t>
  </si>
  <si>
    <t>For grant recipient&amp;#039;s exempt purposes</t>
  </si>
  <si>
    <t>Spencer Educational Foundation, Inc.</t>
  </si>
  <si>
    <t>NY</t>
  </si>
  <si>
    <t>COURSE DEVELOPMENT</t>
  </si>
  <si>
    <t>Endowed Scholarhship</t>
  </si>
  <si>
    <t>GRANT FOR PROFESSIORAL SALARIES</t>
  </si>
  <si>
    <t>United Way of Hall County</t>
  </si>
  <si>
    <t xml:space="preserve">Education services </t>
  </si>
  <si>
    <t>Program support</t>
  </si>
  <si>
    <t>PROVIDES DIAGNOSTIC OR EVALUATION TOOLS FOR PSYCHOLOGICAL TESTING. SUPPORTED AN EDUCATIONAL PROGRAM FOR LOW-INCOME CHILDREN THAT ADDRESSES SUMMER LEARNING LOSS AND PREPARES STUDENTS FOR SCHOOL SUCCESS.</t>
  </si>
  <si>
    <t>Darby Scholars Program</t>
  </si>
  <si>
    <t xml:space="preserve">Science </t>
  </si>
  <si>
    <t>Strengthen University&amp;#039;sHealth Sciences programs</t>
  </si>
  <si>
    <t>April 30Th Foundation</t>
  </si>
  <si>
    <t>SC</t>
  </si>
  <si>
    <t>GENERAL SUPPORT</t>
  </si>
  <si>
    <t>Lettie Pate Evans Foundation</t>
  </si>
  <si>
    <t>Capital and infrastructure</t>
  </si>
  <si>
    <t>Support of technology needs as part of $7.9 million campaign to improve campus connectivity and enhance health sciences programs.</t>
  </si>
  <si>
    <t>Support College of Business &amp;amp;Communications</t>
  </si>
  <si>
    <t>Support PhysicianAssistant StudiesProgram</t>
  </si>
  <si>
    <t>TO PROVIDE SUPPORT FOR PRIVATE COLLEGES AND UNIVERSITIES IN GEORGIA.</t>
  </si>
  <si>
    <t>The John &amp; Mary P. Redwine Charitable Trust</t>
  </si>
  <si>
    <t>Local scholarship fund</t>
  </si>
  <si>
    <t>Provides diagnostic or evaluation tools for psychological testing. Supported an educational program for low-income children that addresses summer learning loss and prepares students for school success.</t>
  </si>
  <si>
    <t>Strengthen University&amp;#039;s Health Sciences programs</t>
  </si>
  <si>
    <t>Lilly M. Martin-Brenau Trust</t>
  </si>
  <si>
    <t>General operating</t>
  </si>
  <si>
    <t>Education</t>
  </si>
  <si>
    <t>To provide support for private colleges and universities in georgia.</t>
  </si>
  <si>
    <t>LOCAL SCHOLARSHIP FUND</t>
  </si>
  <si>
    <t xml:space="preserve">Alumni relations </t>
  </si>
  <si>
    <t>General undergraduate scholarships</t>
  </si>
  <si>
    <t>Robert G and Gloria S Molloy Foundation C/o North Georgia Community Foundation</t>
  </si>
  <si>
    <t>TO ASSIST WITH THE EDUCATIONAL NEEDS PROVIDED BY BREANU UNIVERSITY FOR THE CONFLICT RESOLUTION AND THE LEGAL STUDIES PROGRAM</t>
  </si>
  <si>
    <t>Refinements:</t>
  </si>
  <si>
    <t>Brenau University, Brenau University Inc, Years from 2018 to 2026, Grant amount from $20,000 to $10,000,000,000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</si>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</sst>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2" fontId="0" fillId="0" borderId="0" xfId="0" applyNumberFormat="1"/>
    <xf numFmtId="0" fontId="0" fillId="0" borderId="0" xfId="0" applyAlignment="1">
      <alignment wrapText="1"/>
    </xf>
    <xf numFmtId="42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9F8D5-EF8D-46E1-A832-6E7AAFB10FFC}">
  <dimension ref="A1:J74"/>
  <sheetViews>
    <sheetView tabSelected="1" topLeftCell="A26" workbookViewId="0">
      <selection activeCell="A36" sqref="A36"/>
    </sheetView>
  </sheetViews>
  <sheetFormatPr defaultRowHeight="14.4" x14ac:dyDescent="0.3"/>
  <cols>
    <col min="1" max="1" width="67.77734375" bestFit="1" customWidth="1"/>
    <col min="3" max="3" width="12.21875" style="1" bestFit="1" customWidth="1"/>
  </cols>
  <sheetData>
    <row r="1" spans="1:10" x14ac:dyDescent="0.3">
      <c r="A1" t="s">
        <v>0</v>
      </c>
      <c r="B1" t="s">
        <v>6</v>
      </c>
      <c r="C1" s="1" t="s">
        <v>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8</v>
      </c>
      <c r="J1" t="s">
        <v>9</v>
      </c>
    </row>
    <row r="2" spans="1:10" x14ac:dyDescent="0.3">
      <c r="A2" t="s">
        <v>10</v>
      </c>
      <c r="B2">
        <v>2024</v>
      </c>
      <c r="C2" s="1">
        <v>550000</v>
      </c>
      <c r="D2" t="s">
        <v>11</v>
      </c>
      <c r="E2" t="s">
        <v>12</v>
      </c>
      <c r="F2" t="s">
        <v>13</v>
      </c>
      <c r="G2" t="s">
        <v>11</v>
      </c>
      <c r="H2" t="s">
        <v>14</v>
      </c>
      <c r="J2" t="s">
        <v>15</v>
      </c>
    </row>
    <row r="3" spans="1:10" x14ac:dyDescent="0.3">
      <c r="A3" t="s">
        <v>16</v>
      </c>
      <c r="B3">
        <v>2024</v>
      </c>
      <c r="C3" s="1">
        <v>414000</v>
      </c>
      <c r="D3" t="s">
        <v>11</v>
      </c>
      <c r="E3" t="s">
        <v>12</v>
      </c>
      <c r="F3" t="s">
        <v>13</v>
      </c>
      <c r="G3" t="s">
        <v>11</v>
      </c>
      <c r="H3" t="s">
        <v>17</v>
      </c>
      <c r="I3" t="s">
        <v>18</v>
      </c>
      <c r="J3" t="s">
        <v>19</v>
      </c>
    </row>
    <row r="4" spans="1:10" x14ac:dyDescent="0.3">
      <c r="A4" t="s">
        <v>10</v>
      </c>
      <c r="B4">
        <v>2024</v>
      </c>
      <c r="C4" s="1">
        <v>140000</v>
      </c>
      <c r="D4" t="s">
        <v>11</v>
      </c>
      <c r="E4" t="s">
        <v>12</v>
      </c>
      <c r="F4" t="s">
        <v>13</v>
      </c>
      <c r="G4" t="s">
        <v>11</v>
      </c>
      <c r="H4" t="s">
        <v>20</v>
      </c>
      <c r="I4" t="s">
        <v>21</v>
      </c>
      <c r="J4" t="s">
        <v>22</v>
      </c>
    </row>
    <row r="5" spans="1:10" x14ac:dyDescent="0.3">
      <c r="A5" t="s">
        <v>23</v>
      </c>
      <c r="B5">
        <v>2024</v>
      </c>
      <c r="C5" s="1">
        <v>139990</v>
      </c>
      <c r="D5" t="s">
        <v>11</v>
      </c>
      <c r="E5" t="s">
        <v>12</v>
      </c>
      <c r="F5" t="s">
        <v>13</v>
      </c>
      <c r="G5" t="s">
        <v>11</v>
      </c>
      <c r="H5" t="s">
        <v>20</v>
      </c>
      <c r="J5" t="s">
        <v>24</v>
      </c>
    </row>
    <row r="6" spans="1:10" x14ac:dyDescent="0.3">
      <c r="A6" t="s">
        <v>10</v>
      </c>
      <c r="B6">
        <v>2024</v>
      </c>
      <c r="C6" s="1">
        <v>112500</v>
      </c>
      <c r="D6" t="s">
        <v>11</v>
      </c>
      <c r="E6" t="s">
        <v>12</v>
      </c>
      <c r="F6" t="s">
        <v>13</v>
      </c>
      <c r="G6" t="s">
        <v>11</v>
      </c>
      <c r="H6" t="s">
        <v>20</v>
      </c>
      <c r="J6" t="s">
        <v>25</v>
      </c>
    </row>
    <row r="7" spans="1:10" x14ac:dyDescent="0.3">
      <c r="A7" t="s">
        <v>26</v>
      </c>
      <c r="B7">
        <v>2024</v>
      </c>
      <c r="C7" s="1">
        <v>84404</v>
      </c>
      <c r="D7" t="s">
        <v>27</v>
      </c>
      <c r="E7" t="s">
        <v>12</v>
      </c>
      <c r="F7" t="s">
        <v>13</v>
      </c>
      <c r="G7" t="s">
        <v>11</v>
      </c>
      <c r="H7" t="s">
        <v>20</v>
      </c>
      <c r="I7" t="s">
        <v>28</v>
      </c>
      <c r="J7" t="s">
        <v>29</v>
      </c>
    </row>
    <row r="8" spans="1:10" x14ac:dyDescent="0.3">
      <c r="A8" t="s">
        <v>30</v>
      </c>
      <c r="B8">
        <v>2024</v>
      </c>
      <c r="C8" s="1">
        <v>48373</v>
      </c>
      <c r="D8" t="s">
        <v>31</v>
      </c>
      <c r="E8" t="s">
        <v>12</v>
      </c>
      <c r="F8" t="s">
        <v>13</v>
      </c>
      <c r="G8" t="s">
        <v>11</v>
      </c>
      <c r="H8" t="s">
        <v>20</v>
      </c>
    </row>
    <row r="9" spans="1:10" x14ac:dyDescent="0.3">
      <c r="A9" t="s">
        <v>32</v>
      </c>
      <c r="B9">
        <v>2024</v>
      </c>
      <c r="C9" s="1">
        <v>41000</v>
      </c>
      <c r="D9" t="s">
        <v>27</v>
      </c>
      <c r="E9" t="s">
        <v>12</v>
      </c>
      <c r="F9" t="s">
        <v>13</v>
      </c>
      <c r="G9" t="s">
        <v>11</v>
      </c>
      <c r="H9" t="s">
        <v>20</v>
      </c>
      <c r="I9" t="s">
        <v>28</v>
      </c>
      <c r="J9" t="s">
        <v>29</v>
      </c>
    </row>
    <row r="10" spans="1:10" x14ac:dyDescent="0.3">
      <c r="A10" t="s">
        <v>33</v>
      </c>
      <c r="B10">
        <v>2024</v>
      </c>
      <c r="C10" s="1">
        <v>24000</v>
      </c>
      <c r="D10" t="s">
        <v>34</v>
      </c>
      <c r="E10" t="s">
        <v>12</v>
      </c>
      <c r="F10" t="s">
        <v>13</v>
      </c>
      <c r="G10" t="s">
        <v>11</v>
      </c>
      <c r="H10" t="s">
        <v>20</v>
      </c>
      <c r="J10" t="s">
        <v>35</v>
      </c>
    </row>
    <row r="11" spans="1:10" x14ac:dyDescent="0.3">
      <c r="A11" t="s">
        <v>36</v>
      </c>
      <c r="B11">
        <v>2024</v>
      </c>
      <c r="C11" s="1">
        <v>20000</v>
      </c>
      <c r="D11" t="s">
        <v>11</v>
      </c>
      <c r="E11" t="s">
        <v>12</v>
      </c>
      <c r="F11" t="s">
        <v>13</v>
      </c>
      <c r="G11" t="s">
        <v>11</v>
      </c>
      <c r="H11" t="s">
        <v>20</v>
      </c>
      <c r="I11" t="s">
        <v>28</v>
      </c>
      <c r="J11" t="s">
        <v>37</v>
      </c>
    </row>
    <row r="12" spans="1:10" x14ac:dyDescent="0.3">
      <c r="A12" t="s">
        <v>16</v>
      </c>
      <c r="B12">
        <v>2023</v>
      </c>
      <c r="C12" s="1">
        <v>414000</v>
      </c>
      <c r="D12" t="s">
        <v>11</v>
      </c>
      <c r="E12" t="s">
        <v>12</v>
      </c>
      <c r="F12" t="s">
        <v>13</v>
      </c>
      <c r="G12" t="s">
        <v>11</v>
      </c>
      <c r="H12" t="s">
        <v>38</v>
      </c>
      <c r="I12" t="s">
        <v>18</v>
      </c>
      <c r="J12" t="s">
        <v>39</v>
      </c>
    </row>
    <row r="13" spans="1:10" x14ac:dyDescent="0.3">
      <c r="A13" t="s">
        <v>10</v>
      </c>
      <c r="B13">
        <v>2023</v>
      </c>
      <c r="C13" s="1">
        <v>250000</v>
      </c>
      <c r="D13" t="s">
        <v>11</v>
      </c>
      <c r="E13" t="s">
        <v>12</v>
      </c>
      <c r="F13" t="s">
        <v>13</v>
      </c>
      <c r="G13" t="s">
        <v>11</v>
      </c>
      <c r="H13" t="s">
        <v>20</v>
      </c>
      <c r="J13" t="s">
        <v>40</v>
      </c>
    </row>
    <row r="14" spans="1:10" x14ac:dyDescent="0.3">
      <c r="A14" t="s">
        <v>23</v>
      </c>
      <c r="B14">
        <v>2023</v>
      </c>
      <c r="C14" s="1">
        <v>144231</v>
      </c>
      <c r="D14" t="s">
        <v>11</v>
      </c>
      <c r="E14" t="s">
        <v>12</v>
      </c>
      <c r="F14" t="s">
        <v>13</v>
      </c>
      <c r="G14" t="s">
        <v>11</v>
      </c>
      <c r="H14" t="s">
        <v>20</v>
      </c>
      <c r="J14" t="s">
        <v>24</v>
      </c>
    </row>
    <row r="15" spans="1:10" x14ac:dyDescent="0.3">
      <c r="A15" t="s">
        <v>26</v>
      </c>
      <c r="B15">
        <v>2023</v>
      </c>
      <c r="C15" s="1">
        <v>88736</v>
      </c>
      <c r="D15" t="s">
        <v>27</v>
      </c>
      <c r="E15" t="s">
        <v>12</v>
      </c>
      <c r="F15" t="s">
        <v>13</v>
      </c>
      <c r="G15" t="s">
        <v>11</v>
      </c>
      <c r="H15" t="s">
        <v>20</v>
      </c>
      <c r="I15" t="s">
        <v>28</v>
      </c>
      <c r="J15" t="s">
        <v>29</v>
      </c>
    </row>
    <row r="16" spans="1:10" x14ac:dyDescent="0.3">
      <c r="A16" t="s">
        <v>41</v>
      </c>
      <c r="B16">
        <v>2023</v>
      </c>
      <c r="C16" s="1">
        <v>64740</v>
      </c>
      <c r="D16" t="s">
        <v>11</v>
      </c>
      <c r="E16" t="s">
        <v>12</v>
      </c>
      <c r="F16" t="s">
        <v>13</v>
      </c>
      <c r="G16" t="s">
        <v>11</v>
      </c>
      <c r="H16" t="s">
        <v>42</v>
      </c>
      <c r="J16" t="s">
        <v>43</v>
      </c>
    </row>
    <row r="17" spans="1:10" x14ac:dyDescent="0.3">
      <c r="A17" t="s">
        <v>44</v>
      </c>
      <c r="B17">
        <v>2023</v>
      </c>
      <c r="C17" s="1">
        <v>62000</v>
      </c>
      <c r="D17" t="s">
        <v>45</v>
      </c>
      <c r="E17" t="s">
        <v>12</v>
      </c>
      <c r="F17" t="s">
        <v>13</v>
      </c>
      <c r="G17" t="s">
        <v>11</v>
      </c>
      <c r="H17" t="s">
        <v>20</v>
      </c>
      <c r="J17" t="s">
        <v>46</v>
      </c>
    </row>
    <row r="18" spans="1:10" x14ac:dyDescent="0.3">
      <c r="A18" t="s">
        <v>47</v>
      </c>
      <c r="B18">
        <v>2023</v>
      </c>
      <c r="C18" s="1">
        <v>50000</v>
      </c>
      <c r="D18" t="s">
        <v>48</v>
      </c>
      <c r="E18" t="s">
        <v>12</v>
      </c>
      <c r="F18" t="s">
        <v>13</v>
      </c>
      <c r="G18" t="s">
        <v>11</v>
      </c>
      <c r="H18" t="s">
        <v>20</v>
      </c>
      <c r="J18" t="s">
        <v>49</v>
      </c>
    </row>
    <row r="19" spans="1:10" x14ac:dyDescent="0.3">
      <c r="A19" t="s">
        <v>10</v>
      </c>
      <c r="B19">
        <v>2023</v>
      </c>
      <c r="C19" s="1">
        <v>50000</v>
      </c>
      <c r="D19" t="s">
        <v>11</v>
      </c>
      <c r="E19" t="s">
        <v>12</v>
      </c>
      <c r="F19" t="s">
        <v>13</v>
      </c>
      <c r="G19" t="s">
        <v>11</v>
      </c>
      <c r="H19" t="s">
        <v>20</v>
      </c>
      <c r="J19" t="s">
        <v>50</v>
      </c>
    </row>
    <row r="20" spans="1:10" x14ac:dyDescent="0.3">
      <c r="A20" t="s">
        <v>30</v>
      </c>
      <c r="B20">
        <v>2023</v>
      </c>
      <c r="C20" s="1">
        <v>45246</v>
      </c>
      <c r="D20" t="s">
        <v>31</v>
      </c>
      <c r="E20" t="s">
        <v>12</v>
      </c>
      <c r="F20" t="s">
        <v>13</v>
      </c>
      <c r="G20" t="s">
        <v>11</v>
      </c>
      <c r="H20" t="s">
        <v>20</v>
      </c>
      <c r="J20" t="s">
        <v>51</v>
      </c>
    </row>
    <row r="21" spans="1:10" x14ac:dyDescent="0.3">
      <c r="A21" t="s">
        <v>52</v>
      </c>
      <c r="B21">
        <v>2023</v>
      </c>
      <c r="C21" s="1">
        <v>44500</v>
      </c>
      <c r="D21" t="s">
        <v>11</v>
      </c>
      <c r="E21" t="s">
        <v>12</v>
      </c>
      <c r="F21" t="s">
        <v>13</v>
      </c>
      <c r="G21" t="s">
        <v>11</v>
      </c>
      <c r="H21" t="s">
        <v>53</v>
      </c>
      <c r="I21" t="s">
        <v>54</v>
      </c>
      <c r="J21" t="s">
        <v>55</v>
      </c>
    </row>
    <row r="22" spans="1:10" x14ac:dyDescent="0.3">
      <c r="A22" t="s">
        <v>32</v>
      </c>
      <c r="B22">
        <v>2023</v>
      </c>
      <c r="C22" s="1">
        <v>41000</v>
      </c>
      <c r="D22" t="s">
        <v>27</v>
      </c>
      <c r="E22" t="s">
        <v>12</v>
      </c>
      <c r="F22" t="s">
        <v>13</v>
      </c>
      <c r="G22" t="s">
        <v>11</v>
      </c>
      <c r="H22" t="s">
        <v>20</v>
      </c>
      <c r="I22" t="s">
        <v>28</v>
      </c>
      <c r="J22" t="s">
        <v>29</v>
      </c>
    </row>
    <row r="23" spans="1:10" x14ac:dyDescent="0.3">
      <c r="A23" t="s">
        <v>10</v>
      </c>
      <c r="B23">
        <v>2023</v>
      </c>
      <c r="C23" s="1">
        <v>40000</v>
      </c>
      <c r="D23" t="s">
        <v>11</v>
      </c>
      <c r="E23" t="s">
        <v>12</v>
      </c>
      <c r="F23" t="s">
        <v>13</v>
      </c>
      <c r="G23" t="s">
        <v>11</v>
      </c>
      <c r="H23" t="s">
        <v>38</v>
      </c>
      <c r="J23" t="s">
        <v>56</v>
      </c>
    </row>
    <row r="24" spans="1:10" x14ac:dyDescent="0.3">
      <c r="A24" t="s">
        <v>33</v>
      </c>
      <c r="B24">
        <v>2023</v>
      </c>
      <c r="C24" s="1">
        <v>20000</v>
      </c>
      <c r="D24" t="s">
        <v>34</v>
      </c>
      <c r="E24" t="s">
        <v>12</v>
      </c>
      <c r="F24" t="s">
        <v>13</v>
      </c>
      <c r="G24" t="s">
        <v>11</v>
      </c>
      <c r="H24" t="s">
        <v>20</v>
      </c>
      <c r="J24" t="s">
        <v>35</v>
      </c>
    </row>
    <row r="25" spans="1:10" x14ac:dyDescent="0.3">
      <c r="A25" t="s">
        <v>36</v>
      </c>
      <c r="B25">
        <v>2023</v>
      </c>
      <c r="C25" s="1">
        <v>20000</v>
      </c>
      <c r="D25" t="s">
        <v>11</v>
      </c>
      <c r="E25" t="s">
        <v>12</v>
      </c>
      <c r="F25" t="s">
        <v>13</v>
      </c>
      <c r="G25" t="s">
        <v>11</v>
      </c>
      <c r="H25" t="s">
        <v>20</v>
      </c>
      <c r="I25" t="s">
        <v>28</v>
      </c>
      <c r="J25" t="s">
        <v>37</v>
      </c>
    </row>
    <row r="26" spans="1:10" x14ac:dyDescent="0.3">
      <c r="A26" t="s">
        <v>10</v>
      </c>
      <c r="B26">
        <v>2022</v>
      </c>
      <c r="C26" s="1">
        <v>550000</v>
      </c>
      <c r="D26" t="s">
        <v>11</v>
      </c>
      <c r="E26" t="s">
        <v>12</v>
      </c>
      <c r="F26" t="s">
        <v>13</v>
      </c>
      <c r="G26" t="s">
        <v>11</v>
      </c>
      <c r="H26" t="s">
        <v>57</v>
      </c>
      <c r="J26" t="s">
        <v>58</v>
      </c>
    </row>
    <row r="27" spans="1:10" x14ac:dyDescent="0.3">
      <c r="A27" t="s">
        <v>16</v>
      </c>
      <c r="B27">
        <v>2022</v>
      </c>
      <c r="C27" s="1">
        <v>387000</v>
      </c>
      <c r="D27" t="s">
        <v>11</v>
      </c>
      <c r="E27" t="s">
        <v>12</v>
      </c>
      <c r="F27" t="s">
        <v>13</v>
      </c>
      <c r="G27" t="s">
        <v>11</v>
      </c>
      <c r="H27" t="s">
        <v>38</v>
      </c>
      <c r="I27" t="s">
        <v>18</v>
      </c>
      <c r="J27" t="s">
        <v>39</v>
      </c>
    </row>
    <row r="28" spans="1:10" x14ac:dyDescent="0.3">
      <c r="A28" t="s">
        <v>23</v>
      </c>
      <c r="B28">
        <v>2022</v>
      </c>
      <c r="C28" s="1">
        <v>125290</v>
      </c>
      <c r="D28" t="s">
        <v>11</v>
      </c>
      <c r="E28" t="s">
        <v>12</v>
      </c>
      <c r="F28" t="s">
        <v>13</v>
      </c>
      <c r="G28" t="s">
        <v>11</v>
      </c>
      <c r="H28" t="s">
        <v>20</v>
      </c>
      <c r="J28" t="s">
        <v>24</v>
      </c>
    </row>
    <row r="29" spans="1:10" x14ac:dyDescent="0.3">
      <c r="A29" t="s">
        <v>26</v>
      </c>
      <c r="B29">
        <v>2022</v>
      </c>
      <c r="C29" s="1">
        <v>101713</v>
      </c>
      <c r="D29" t="s">
        <v>27</v>
      </c>
      <c r="E29" t="s">
        <v>12</v>
      </c>
      <c r="F29" t="s">
        <v>13</v>
      </c>
      <c r="G29" t="s">
        <v>11</v>
      </c>
      <c r="H29" t="s">
        <v>20</v>
      </c>
      <c r="I29" t="s">
        <v>28</v>
      </c>
      <c r="J29" t="s">
        <v>29</v>
      </c>
    </row>
    <row r="30" spans="1:10" x14ac:dyDescent="0.3">
      <c r="A30" t="s">
        <v>41</v>
      </c>
      <c r="B30">
        <v>2022</v>
      </c>
      <c r="C30" s="1">
        <v>61526</v>
      </c>
      <c r="D30" t="s">
        <v>11</v>
      </c>
      <c r="E30" t="s">
        <v>12</v>
      </c>
      <c r="F30" t="s">
        <v>13</v>
      </c>
      <c r="G30" t="s">
        <v>11</v>
      </c>
      <c r="H30" t="s">
        <v>42</v>
      </c>
      <c r="J30" t="s">
        <v>43</v>
      </c>
    </row>
    <row r="31" spans="1:10" x14ac:dyDescent="0.3">
      <c r="A31" t="s">
        <v>59</v>
      </c>
      <c r="B31">
        <v>2022</v>
      </c>
      <c r="C31" s="1">
        <v>50000</v>
      </c>
      <c r="D31" t="s">
        <v>60</v>
      </c>
      <c r="E31" t="s">
        <v>12</v>
      </c>
      <c r="F31" t="s">
        <v>13</v>
      </c>
      <c r="G31" t="s">
        <v>11</v>
      </c>
      <c r="H31" t="s">
        <v>20</v>
      </c>
      <c r="I31" t="s">
        <v>28</v>
      </c>
      <c r="J31" t="s">
        <v>61</v>
      </c>
    </row>
    <row r="32" spans="1:10" x14ac:dyDescent="0.3">
      <c r="A32" t="s">
        <v>52</v>
      </c>
      <c r="B32">
        <v>2022</v>
      </c>
      <c r="C32" s="1">
        <v>44550</v>
      </c>
      <c r="D32" t="s">
        <v>11</v>
      </c>
      <c r="E32" t="s">
        <v>12</v>
      </c>
      <c r="F32" t="s">
        <v>13</v>
      </c>
      <c r="G32" t="s">
        <v>11</v>
      </c>
      <c r="H32" t="s">
        <v>53</v>
      </c>
      <c r="I32" t="s">
        <v>54</v>
      </c>
      <c r="J32" t="s">
        <v>55</v>
      </c>
    </row>
    <row r="33" spans="1:10" x14ac:dyDescent="0.3">
      <c r="A33" t="s">
        <v>30</v>
      </c>
      <c r="B33">
        <v>2022</v>
      </c>
      <c r="C33" s="1">
        <v>40623</v>
      </c>
      <c r="D33" t="s">
        <v>31</v>
      </c>
      <c r="E33" t="s">
        <v>12</v>
      </c>
      <c r="F33" t="s">
        <v>13</v>
      </c>
      <c r="G33" t="s">
        <v>11</v>
      </c>
      <c r="H33" t="s">
        <v>20</v>
      </c>
      <c r="J33" t="s">
        <v>51</v>
      </c>
    </row>
    <row r="34" spans="1:10" x14ac:dyDescent="0.3">
      <c r="A34" t="s">
        <v>32</v>
      </c>
      <c r="B34">
        <v>2022</v>
      </c>
      <c r="C34" s="1">
        <v>25000</v>
      </c>
      <c r="D34" t="s">
        <v>27</v>
      </c>
      <c r="E34" t="s">
        <v>12</v>
      </c>
      <c r="F34" t="s">
        <v>13</v>
      </c>
      <c r="G34" t="s">
        <v>11</v>
      </c>
      <c r="H34" t="s">
        <v>20</v>
      </c>
      <c r="I34" t="s">
        <v>28</v>
      </c>
      <c r="J34" t="s">
        <v>29</v>
      </c>
    </row>
    <row r="35" spans="1:10" x14ac:dyDescent="0.3">
      <c r="A35" t="s">
        <v>33</v>
      </c>
      <c r="B35">
        <v>2022</v>
      </c>
      <c r="C35" s="1">
        <v>20000</v>
      </c>
      <c r="D35" t="s">
        <v>34</v>
      </c>
      <c r="E35" t="s">
        <v>12</v>
      </c>
      <c r="F35" t="s">
        <v>13</v>
      </c>
      <c r="G35" t="s">
        <v>11</v>
      </c>
      <c r="H35" t="s">
        <v>20</v>
      </c>
      <c r="J35" t="s">
        <v>35</v>
      </c>
    </row>
    <row r="36" spans="1:10" x14ac:dyDescent="0.3">
      <c r="A36" t="s">
        <v>62</v>
      </c>
      <c r="B36">
        <v>2021</v>
      </c>
      <c r="C36" s="1">
        <v>1500000</v>
      </c>
      <c r="D36" t="s">
        <v>11</v>
      </c>
      <c r="E36" t="s">
        <v>12</v>
      </c>
      <c r="F36" t="s">
        <v>13</v>
      </c>
      <c r="G36" t="s">
        <v>11</v>
      </c>
      <c r="H36" t="s">
        <v>14</v>
      </c>
      <c r="I36" t="s">
        <v>63</v>
      </c>
      <c r="J36" t="s">
        <v>64</v>
      </c>
    </row>
    <row r="37" spans="1:10" x14ac:dyDescent="0.3">
      <c r="A37" t="s">
        <v>16</v>
      </c>
      <c r="B37">
        <v>2021</v>
      </c>
      <c r="C37" s="1">
        <v>355000</v>
      </c>
      <c r="D37" t="s">
        <v>11</v>
      </c>
      <c r="E37" t="s">
        <v>12</v>
      </c>
      <c r="F37" t="s">
        <v>13</v>
      </c>
      <c r="G37" t="s">
        <v>11</v>
      </c>
      <c r="H37" t="s">
        <v>38</v>
      </c>
      <c r="I37" t="s">
        <v>18</v>
      </c>
      <c r="J37" t="s">
        <v>39</v>
      </c>
    </row>
    <row r="38" spans="1:10" x14ac:dyDescent="0.3">
      <c r="A38" t="s">
        <v>10</v>
      </c>
      <c r="B38">
        <v>2021</v>
      </c>
      <c r="C38" s="1">
        <v>300000</v>
      </c>
      <c r="D38" t="s">
        <v>11</v>
      </c>
      <c r="E38" t="s">
        <v>12</v>
      </c>
      <c r="F38" t="s">
        <v>13</v>
      </c>
      <c r="G38" t="s">
        <v>11</v>
      </c>
      <c r="H38" t="s">
        <v>20</v>
      </c>
      <c r="J38" t="s">
        <v>65</v>
      </c>
    </row>
    <row r="39" spans="1:10" x14ac:dyDescent="0.3">
      <c r="A39" t="s">
        <v>23</v>
      </c>
      <c r="B39">
        <v>2021</v>
      </c>
      <c r="C39" s="1">
        <v>185905</v>
      </c>
      <c r="D39" t="s">
        <v>11</v>
      </c>
      <c r="E39" t="s">
        <v>12</v>
      </c>
      <c r="F39" t="s">
        <v>13</v>
      </c>
      <c r="G39" t="s">
        <v>11</v>
      </c>
      <c r="H39" t="s">
        <v>20</v>
      </c>
      <c r="J39" t="s">
        <v>24</v>
      </c>
    </row>
    <row r="40" spans="1:10" x14ac:dyDescent="0.3">
      <c r="A40" t="s">
        <v>10</v>
      </c>
      <c r="B40">
        <v>2021</v>
      </c>
      <c r="C40" s="1">
        <v>162000</v>
      </c>
      <c r="D40" t="s">
        <v>11</v>
      </c>
      <c r="E40" t="s">
        <v>12</v>
      </c>
      <c r="F40" t="s">
        <v>13</v>
      </c>
      <c r="G40" t="s">
        <v>11</v>
      </c>
      <c r="H40" t="s">
        <v>57</v>
      </c>
      <c r="J40" t="s">
        <v>58</v>
      </c>
    </row>
    <row r="41" spans="1:10" x14ac:dyDescent="0.3">
      <c r="A41" t="s">
        <v>26</v>
      </c>
      <c r="B41">
        <v>2021</v>
      </c>
      <c r="C41" s="1">
        <v>88821</v>
      </c>
      <c r="D41" t="s">
        <v>27</v>
      </c>
      <c r="E41" t="s">
        <v>12</v>
      </c>
      <c r="F41" t="s">
        <v>13</v>
      </c>
      <c r="G41" t="s">
        <v>11</v>
      </c>
      <c r="H41" t="s">
        <v>20</v>
      </c>
      <c r="I41" t="s">
        <v>28</v>
      </c>
      <c r="J41" t="s">
        <v>29</v>
      </c>
    </row>
    <row r="42" spans="1:10" x14ac:dyDescent="0.3">
      <c r="A42" t="s">
        <v>41</v>
      </c>
      <c r="B42">
        <v>2021</v>
      </c>
      <c r="C42" s="1">
        <v>62311</v>
      </c>
      <c r="D42" t="s">
        <v>11</v>
      </c>
      <c r="E42" t="s">
        <v>12</v>
      </c>
      <c r="F42" t="s">
        <v>13</v>
      </c>
      <c r="G42" t="s">
        <v>11</v>
      </c>
      <c r="H42" t="s">
        <v>42</v>
      </c>
      <c r="J42" t="s">
        <v>43</v>
      </c>
    </row>
    <row r="43" spans="1:10" x14ac:dyDescent="0.3">
      <c r="A43" t="s">
        <v>10</v>
      </c>
      <c r="B43">
        <v>2021</v>
      </c>
      <c r="C43" s="1">
        <v>50000</v>
      </c>
      <c r="D43" t="s">
        <v>11</v>
      </c>
      <c r="E43" t="s">
        <v>12</v>
      </c>
      <c r="F43" t="s">
        <v>13</v>
      </c>
      <c r="G43" t="s">
        <v>11</v>
      </c>
      <c r="H43" t="s">
        <v>20</v>
      </c>
      <c r="J43" t="s">
        <v>66</v>
      </c>
    </row>
    <row r="44" spans="1:10" x14ac:dyDescent="0.3">
      <c r="A44" t="s">
        <v>52</v>
      </c>
      <c r="B44">
        <v>2021</v>
      </c>
      <c r="C44" s="1">
        <v>30000</v>
      </c>
      <c r="D44" t="s">
        <v>11</v>
      </c>
      <c r="E44" t="s">
        <v>12</v>
      </c>
      <c r="F44" t="s">
        <v>13</v>
      </c>
      <c r="G44" t="s">
        <v>11</v>
      </c>
      <c r="H44" t="s">
        <v>53</v>
      </c>
      <c r="I44" t="s">
        <v>54</v>
      </c>
      <c r="J44" t="s">
        <v>55</v>
      </c>
    </row>
    <row r="45" spans="1:10" x14ac:dyDescent="0.3">
      <c r="A45" t="s">
        <v>16</v>
      </c>
      <c r="B45">
        <v>2020</v>
      </c>
      <c r="C45" s="1">
        <v>355000</v>
      </c>
      <c r="D45" t="s">
        <v>11</v>
      </c>
      <c r="E45" t="s">
        <v>12</v>
      </c>
      <c r="F45" t="s">
        <v>13</v>
      </c>
      <c r="G45" t="s">
        <v>11</v>
      </c>
      <c r="H45" t="s">
        <v>38</v>
      </c>
      <c r="I45" t="s">
        <v>18</v>
      </c>
      <c r="J45" t="s">
        <v>39</v>
      </c>
    </row>
    <row r="46" spans="1:10" x14ac:dyDescent="0.3">
      <c r="A46" t="s">
        <v>10</v>
      </c>
      <c r="B46">
        <v>2020</v>
      </c>
      <c r="C46" s="1">
        <v>238000</v>
      </c>
      <c r="D46" t="s">
        <v>11</v>
      </c>
      <c r="E46" t="s">
        <v>12</v>
      </c>
      <c r="F46" t="s">
        <v>13</v>
      </c>
      <c r="G46" t="s">
        <v>11</v>
      </c>
      <c r="H46" t="s">
        <v>57</v>
      </c>
      <c r="J46" t="s">
        <v>58</v>
      </c>
    </row>
    <row r="47" spans="1:10" x14ac:dyDescent="0.3">
      <c r="A47" t="s">
        <v>23</v>
      </c>
      <c r="B47">
        <v>2020</v>
      </c>
      <c r="C47" s="1">
        <v>113745</v>
      </c>
      <c r="D47" t="s">
        <v>11</v>
      </c>
      <c r="E47" t="s">
        <v>12</v>
      </c>
      <c r="F47" t="s">
        <v>13</v>
      </c>
      <c r="G47" t="s">
        <v>11</v>
      </c>
      <c r="H47" t="s">
        <v>20</v>
      </c>
      <c r="J47" t="s">
        <v>24</v>
      </c>
    </row>
    <row r="48" spans="1:10" x14ac:dyDescent="0.3">
      <c r="A48" t="s">
        <v>26</v>
      </c>
      <c r="B48">
        <v>2020</v>
      </c>
      <c r="C48" s="1">
        <v>87000</v>
      </c>
      <c r="D48" t="s">
        <v>27</v>
      </c>
      <c r="E48" t="s">
        <v>12</v>
      </c>
      <c r="F48" t="s">
        <v>13</v>
      </c>
      <c r="G48" t="s">
        <v>11</v>
      </c>
      <c r="H48" t="s">
        <v>20</v>
      </c>
      <c r="I48" t="s">
        <v>28</v>
      </c>
      <c r="J48" t="s">
        <v>29</v>
      </c>
    </row>
    <row r="49" spans="1:10" x14ac:dyDescent="0.3">
      <c r="A49" t="s">
        <v>41</v>
      </c>
      <c r="B49">
        <v>2020</v>
      </c>
      <c r="C49" s="1">
        <v>54455</v>
      </c>
      <c r="D49" t="s">
        <v>11</v>
      </c>
      <c r="E49" t="s">
        <v>12</v>
      </c>
      <c r="F49" t="s">
        <v>13</v>
      </c>
      <c r="G49" t="s">
        <v>11</v>
      </c>
      <c r="H49" t="s">
        <v>42</v>
      </c>
      <c r="J49" t="s">
        <v>67</v>
      </c>
    </row>
    <row r="50" spans="1:10" x14ac:dyDescent="0.3">
      <c r="A50" t="s">
        <v>68</v>
      </c>
      <c r="B50">
        <v>2020</v>
      </c>
      <c r="C50" s="1">
        <v>50000</v>
      </c>
      <c r="D50" t="s">
        <v>27</v>
      </c>
      <c r="E50" t="s">
        <v>12</v>
      </c>
      <c r="F50" t="s">
        <v>13</v>
      </c>
      <c r="G50" t="s">
        <v>11</v>
      </c>
      <c r="H50" t="s">
        <v>38</v>
      </c>
      <c r="I50" t="s">
        <v>18</v>
      </c>
      <c r="J50" t="s">
        <v>69</v>
      </c>
    </row>
    <row r="51" spans="1:10" x14ac:dyDescent="0.3">
      <c r="A51" t="s">
        <v>52</v>
      </c>
      <c r="B51">
        <v>2020</v>
      </c>
      <c r="C51" s="1">
        <v>31488</v>
      </c>
      <c r="D51" t="s">
        <v>11</v>
      </c>
      <c r="E51" t="s">
        <v>12</v>
      </c>
      <c r="F51" t="s">
        <v>13</v>
      </c>
      <c r="G51" t="s">
        <v>11</v>
      </c>
      <c r="H51" t="s">
        <v>53</v>
      </c>
      <c r="J51" t="s">
        <v>70</v>
      </c>
    </row>
    <row r="52" spans="1:10" x14ac:dyDescent="0.3">
      <c r="A52" t="s">
        <v>10</v>
      </c>
      <c r="B52">
        <v>2019</v>
      </c>
      <c r="C52" s="1">
        <v>275000</v>
      </c>
      <c r="D52" t="s">
        <v>11</v>
      </c>
      <c r="E52" t="s">
        <v>12</v>
      </c>
      <c r="F52" t="s">
        <v>13</v>
      </c>
      <c r="G52" t="s">
        <v>11</v>
      </c>
      <c r="H52" t="s">
        <v>38</v>
      </c>
      <c r="J52" t="s">
        <v>71</v>
      </c>
    </row>
    <row r="53" spans="1:10" x14ac:dyDescent="0.3">
      <c r="A53" t="s">
        <v>16</v>
      </c>
      <c r="B53">
        <v>2019</v>
      </c>
      <c r="C53" s="1">
        <v>157000</v>
      </c>
      <c r="D53" t="s">
        <v>11</v>
      </c>
      <c r="E53" t="s">
        <v>12</v>
      </c>
      <c r="F53" t="s">
        <v>13</v>
      </c>
      <c r="G53" t="s">
        <v>11</v>
      </c>
      <c r="H53" t="s">
        <v>17</v>
      </c>
      <c r="I53" t="s">
        <v>18</v>
      </c>
      <c r="J53" t="s">
        <v>19</v>
      </c>
    </row>
    <row r="54" spans="1:10" x14ac:dyDescent="0.3">
      <c r="A54" t="s">
        <v>16</v>
      </c>
      <c r="B54">
        <v>2019</v>
      </c>
      <c r="C54" s="1">
        <v>157000</v>
      </c>
      <c r="D54" t="s">
        <v>11</v>
      </c>
      <c r="E54" t="s">
        <v>12</v>
      </c>
      <c r="F54" t="s">
        <v>13</v>
      </c>
      <c r="G54" t="s">
        <v>11</v>
      </c>
      <c r="H54" t="s">
        <v>17</v>
      </c>
      <c r="I54" t="s">
        <v>18</v>
      </c>
      <c r="J54" t="s">
        <v>19</v>
      </c>
    </row>
    <row r="55" spans="1:10" x14ac:dyDescent="0.3">
      <c r="A55" t="s">
        <v>26</v>
      </c>
      <c r="B55">
        <v>2019</v>
      </c>
      <c r="C55" s="1">
        <v>85153</v>
      </c>
      <c r="D55" t="s">
        <v>27</v>
      </c>
      <c r="E55" t="s">
        <v>12</v>
      </c>
      <c r="F55" t="s">
        <v>13</v>
      </c>
      <c r="G55" t="s">
        <v>11</v>
      </c>
      <c r="H55" t="s">
        <v>20</v>
      </c>
      <c r="I55" t="s">
        <v>28</v>
      </c>
      <c r="J55" t="s">
        <v>29</v>
      </c>
    </row>
    <row r="56" spans="1:10" x14ac:dyDescent="0.3">
      <c r="A56" t="s">
        <v>72</v>
      </c>
      <c r="B56">
        <v>2019</v>
      </c>
      <c r="C56" s="1">
        <v>85153</v>
      </c>
      <c r="D56" t="s">
        <v>27</v>
      </c>
      <c r="E56" t="s">
        <v>12</v>
      </c>
      <c r="F56" t="s">
        <v>13</v>
      </c>
      <c r="G56" t="s">
        <v>11</v>
      </c>
      <c r="H56" t="s">
        <v>20</v>
      </c>
      <c r="I56" t="s">
        <v>28</v>
      </c>
      <c r="J56" t="s">
        <v>73</v>
      </c>
    </row>
    <row r="57" spans="1:10" x14ac:dyDescent="0.3">
      <c r="A57" t="s">
        <v>23</v>
      </c>
      <c r="B57">
        <v>2019</v>
      </c>
      <c r="C57" s="1">
        <v>76440</v>
      </c>
      <c r="D57" t="s">
        <v>11</v>
      </c>
      <c r="E57" t="s">
        <v>12</v>
      </c>
      <c r="F57" t="s">
        <v>13</v>
      </c>
      <c r="G57" t="s">
        <v>11</v>
      </c>
      <c r="H57" t="s">
        <v>20</v>
      </c>
      <c r="J57" t="s">
        <v>74</v>
      </c>
    </row>
    <row r="58" spans="1:10" x14ac:dyDescent="0.3">
      <c r="A58" t="s">
        <v>41</v>
      </c>
      <c r="B58">
        <v>2019</v>
      </c>
      <c r="C58" s="1">
        <v>56324</v>
      </c>
      <c r="D58" t="s">
        <v>11</v>
      </c>
      <c r="E58" t="s">
        <v>12</v>
      </c>
      <c r="F58" t="s">
        <v>13</v>
      </c>
      <c r="G58" t="s">
        <v>11</v>
      </c>
      <c r="H58" t="s">
        <v>42</v>
      </c>
      <c r="J58" t="s">
        <v>75</v>
      </c>
    </row>
    <row r="59" spans="1:10" x14ac:dyDescent="0.3">
      <c r="A59" t="s">
        <v>32</v>
      </c>
      <c r="B59">
        <v>2019</v>
      </c>
      <c r="C59" s="1">
        <v>50000</v>
      </c>
      <c r="D59" t="s">
        <v>27</v>
      </c>
      <c r="E59" t="s">
        <v>12</v>
      </c>
      <c r="F59" t="s">
        <v>13</v>
      </c>
      <c r="G59" t="s">
        <v>11</v>
      </c>
      <c r="H59" t="s">
        <v>38</v>
      </c>
      <c r="I59" t="s">
        <v>18</v>
      </c>
      <c r="J59" t="s">
        <v>76</v>
      </c>
    </row>
    <row r="60" spans="1:10" x14ac:dyDescent="0.3">
      <c r="A60" t="s">
        <v>52</v>
      </c>
      <c r="B60">
        <v>2019</v>
      </c>
      <c r="C60" s="1">
        <v>48800</v>
      </c>
      <c r="D60" t="s">
        <v>11</v>
      </c>
      <c r="E60" t="s">
        <v>12</v>
      </c>
      <c r="F60" t="s">
        <v>13</v>
      </c>
      <c r="G60" t="s">
        <v>11</v>
      </c>
      <c r="H60" t="s">
        <v>53</v>
      </c>
      <c r="J60" t="s">
        <v>70</v>
      </c>
    </row>
    <row r="61" spans="1:10" x14ac:dyDescent="0.3">
      <c r="A61" t="s">
        <v>10</v>
      </c>
      <c r="B61">
        <v>2018</v>
      </c>
      <c r="C61" s="1">
        <v>675000</v>
      </c>
      <c r="D61" t="s">
        <v>11</v>
      </c>
      <c r="E61" t="s">
        <v>12</v>
      </c>
      <c r="F61" t="s">
        <v>13</v>
      </c>
      <c r="G61" t="s">
        <v>11</v>
      </c>
      <c r="H61" t="s">
        <v>38</v>
      </c>
      <c r="J61" t="s">
        <v>71</v>
      </c>
    </row>
    <row r="62" spans="1:10" x14ac:dyDescent="0.3">
      <c r="A62" t="s">
        <v>16</v>
      </c>
      <c r="B62">
        <v>2018</v>
      </c>
      <c r="C62" s="1">
        <v>151000</v>
      </c>
      <c r="D62" t="s">
        <v>11</v>
      </c>
      <c r="E62" t="s">
        <v>12</v>
      </c>
      <c r="F62" t="s">
        <v>13</v>
      </c>
      <c r="G62" t="s">
        <v>11</v>
      </c>
      <c r="H62" t="s">
        <v>77</v>
      </c>
      <c r="I62" t="s">
        <v>18</v>
      </c>
      <c r="J62" t="s">
        <v>78</v>
      </c>
    </row>
    <row r="63" spans="1:10" x14ac:dyDescent="0.3">
      <c r="A63" t="s">
        <v>16</v>
      </c>
      <c r="B63">
        <v>2018</v>
      </c>
      <c r="C63" s="1">
        <v>151000</v>
      </c>
      <c r="D63" t="s">
        <v>11</v>
      </c>
      <c r="E63" t="s">
        <v>12</v>
      </c>
      <c r="F63" t="s">
        <v>13</v>
      </c>
      <c r="G63" t="s">
        <v>11</v>
      </c>
      <c r="H63" t="s">
        <v>77</v>
      </c>
      <c r="I63" t="s">
        <v>18</v>
      </c>
      <c r="J63" t="s">
        <v>78</v>
      </c>
    </row>
    <row r="64" spans="1:10" x14ac:dyDescent="0.3">
      <c r="A64" t="s">
        <v>26</v>
      </c>
      <c r="B64">
        <v>2018</v>
      </c>
      <c r="C64" s="1">
        <v>81014</v>
      </c>
      <c r="D64" t="s">
        <v>27</v>
      </c>
      <c r="E64" t="s">
        <v>12</v>
      </c>
      <c r="F64" t="s">
        <v>13</v>
      </c>
      <c r="G64" t="s">
        <v>11</v>
      </c>
      <c r="H64" t="s">
        <v>20</v>
      </c>
      <c r="I64" t="s">
        <v>28</v>
      </c>
      <c r="J64" t="s">
        <v>29</v>
      </c>
    </row>
    <row r="65" spans="1:10" x14ac:dyDescent="0.3">
      <c r="A65" t="s">
        <v>72</v>
      </c>
      <c r="B65">
        <v>2018</v>
      </c>
      <c r="C65" s="1">
        <v>81014</v>
      </c>
      <c r="D65" t="s">
        <v>27</v>
      </c>
      <c r="E65" t="s">
        <v>12</v>
      </c>
      <c r="F65" t="s">
        <v>13</v>
      </c>
      <c r="G65" t="s">
        <v>11</v>
      </c>
      <c r="H65" t="s">
        <v>20</v>
      </c>
      <c r="I65" t="s">
        <v>28</v>
      </c>
      <c r="J65" t="s">
        <v>73</v>
      </c>
    </row>
    <row r="66" spans="1:10" x14ac:dyDescent="0.3">
      <c r="A66" t="s">
        <v>41</v>
      </c>
      <c r="B66">
        <v>2018</v>
      </c>
      <c r="C66" s="1">
        <v>51464</v>
      </c>
      <c r="D66" t="s">
        <v>11</v>
      </c>
      <c r="E66" t="s">
        <v>12</v>
      </c>
      <c r="F66" t="s">
        <v>13</v>
      </c>
      <c r="G66" t="s">
        <v>11</v>
      </c>
      <c r="H66" t="s">
        <v>42</v>
      </c>
      <c r="J66" t="s">
        <v>75</v>
      </c>
    </row>
    <row r="67" spans="1:10" x14ac:dyDescent="0.3">
      <c r="A67" t="s">
        <v>32</v>
      </c>
      <c r="B67">
        <v>2018</v>
      </c>
      <c r="C67" s="1">
        <v>50000</v>
      </c>
      <c r="D67" t="s">
        <v>27</v>
      </c>
      <c r="E67" t="s">
        <v>12</v>
      </c>
      <c r="F67" t="s">
        <v>13</v>
      </c>
      <c r="G67" t="s">
        <v>11</v>
      </c>
      <c r="H67" t="s">
        <v>20</v>
      </c>
      <c r="I67" t="s">
        <v>28</v>
      </c>
      <c r="J67" t="s">
        <v>29</v>
      </c>
    </row>
    <row r="68" spans="1:10" x14ac:dyDescent="0.3">
      <c r="A68" t="s">
        <v>68</v>
      </c>
      <c r="B68">
        <v>2018</v>
      </c>
      <c r="C68" s="1">
        <v>50000</v>
      </c>
      <c r="D68" t="s">
        <v>27</v>
      </c>
      <c r="E68" t="s">
        <v>12</v>
      </c>
      <c r="F68" t="s">
        <v>13</v>
      </c>
      <c r="G68" t="s">
        <v>11</v>
      </c>
      <c r="H68" t="s">
        <v>20</v>
      </c>
      <c r="I68" t="s">
        <v>28</v>
      </c>
      <c r="J68" t="s">
        <v>73</v>
      </c>
    </row>
    <row r="69" spans="1:10" x14ac:dyDescent="0.3">
      <c r="A69" t="s">
        <v>23</v>
      </c>
      <c r="B69">
        <v>2018</v>
      </c>
      <c r="C69" s="1">
        <v>46500</v>
      </c>
      <c r="D69" t="s">
        <v>11</v>
      </c>
      <c r="E69" t="s">
        <v>12</v>
      </c>
      <c r="F69" t="s">
        <v>13</v>
      </c>
      <c r="G69" t="s">
        <v>11</v>
      </c>
      <c r="H69" t="s">
        <v>20</v>
      </c>
      <c r="J69" t="s">
        <v>74</v>
      </c>
    </row>
    <row r="70" spans="1:10" x14ac:dyDescent="0.3">
      <c r="A70" t="s">
        <v>52</v>
      </c>
      <c r="B70">
        <v>2018</v>
      </c>
      <c r="C70" s="1">
        <v>44300</v>
      </c>
      <c r="D70" t="s">
        <v>11</v>
      </c>
      <c r="E70" t="s">
        <v>12</v>
      </c>
      <c r="F70" t="s">
        <v>13</v>
      </c>
      <c r="G70" t="s">
        <v>11</v>
      </c>
      <c r="H70" t="s">
        <v>53</v>
      </c>
      <c r="I70" t="s">
        <v>54</v>
      </c>
      <c r="J70" t="s">
        <v>55</v>
      </c>
    </row>
    <row r="71" spans="1:10" x14ac:dyDescent="0.3">
      <c r="A71" t="s">
        <v>79</v>
      </c>
      <c r="B71">
        <v>2018</v>
      </c>
      <c r="C71" s="1">
        <v>25000</v>
      </c>
      <c r="D71" t="s">
        <v>11</v>
      </c>
      <c r="E71" t="s">
        <v>12</v>
      </c>
      <c r="F71" t="s">
        <v>13</v>
      </c>
      <c r="G71" t="s">
        <v>11</v>
      </c>
      <c r="H71" t="s">
        <v>20</v>
      </c>
      <c r="J71" t="s">
        <v>80</v>
      </c>
    </row>
    <row r="72" spans="1:10" x14ac:dyDescent="0.3">
      <c r="B72" t="s">
        <v>83</v>
      </c>
      <c r="C72" s="3">
        <f>SUM(C2:C71)</f>
        <v>10375309</v>
      </c>
    </row>
    <row r="73" spans="1:10" x14ac:dyDescent="0.3">
      <c r="A73" t="s">
        <v>81</v>
      </c>
    </row>
    <row r="74" spans="1:10" ht="216" x14ac:dyDescent="0.3">
      <c r="A74" s="2" t="s">
        <v>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D6572614A874CBFDA63264623FDAC" ma:contentTypeVersion="13" ma:contentTypeDescription="Create a new document." ma:contentTypeScope="" ma:versionID="5044b038b3ffa86d2e537791645bf310">
  <xsd:schema xmlns:xsd="http://www.w3.org/2001/XMLSchema" xmlns:xs="http://www.w3.org/2001/XMLSchema" xmlns:p="http://schemas.microsoft.com/office/2006/metadata/properties" xmlns:ns2="cf3f06be-d2bb-430b-9a15-b6879cae20f9" xmlns:ns3="99a609a0-1e30-451b-9a26-3e1786710c61" targetNamespace="http://schemas.microsoft.com/office/2006/metadata/properties" ma:root="true" ma:fieldsID="502444c2f8a03528f6294127d0d79334" ns2:_="" ns3:_="">
    <xsd:import namespace="cf3f06be-d2bb-430b-9a15-b6879cae20f9"/>
    <xsd:import namespace="99a609a0-1e30-451b-9a26-3e1786710c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f06be-d2bb-430b-9a15-b6879cae20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2ef0154-aede-4344-9263-f4b653161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609a0-1e30-451b-9a26-3e1786710c6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9d547a4-f4ab-4804-800a-138b1be74917}" ma:internalName="TaxCatchAll" ma:showField="CatchAllData" ma:web="99a609a0-1e30-451b-9a26-3e1786710c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609a0-1e30-451b-9a26-3e1786710c61" xsi:nil="true"/>
    <lcf76f155ced4ddcb4097134ff3c332f xmlns="cf3f06be-d2bb-430b-9a15-b6879cae20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8EFCFA-868B-45EF-8885-C5A015DE23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f06be-d2bb-430b-9a15-b6879cae20f9"/>
    <ds:schemaRef ds:uri="99a609a0-1e30-451b-9a26-3e1786710c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BC6629-446C-4947-A279-1300394668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FBE951-2E87-4FE7-B215-EC6937488393}">
  <ds:schemaRefs>
    <ds:schemaRef ds:uri="http://purl.org/dc/elements/1.1/"/>
    <ds:schemaRef ds:uri="99a609a0-1e30-451b-9a26-3e1786710c61"/>
    <ds:schemaRef ds:uri="http://purl.org/dc/terms/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cf3f06be-d2bb-430b-9a15-b6879cae20f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data(25)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 Toppa</cp:lastModifiedBy>
  <dcterms:created xsi:type="dcterms:W3CDTF">2026-01-05T19:33:36Z</dcterms:created>
  <dcterms:modified xsi:type="dcterms:W3CDTF">2026-01-05T19:37:33Z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0x0101006C6D6572614A874CBFDA63264623FDAC</vt:lpwstr>
  </property>
  <property fmtid="{D5CDD505-2E9C-101B-9397-08002B2CF9AE}" pid="3" name="MediaServiceImageTags">
    <vt:lpwstr/>
  </property>
</Properties>
</file>
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q.sharepoint.com/sites/HEDBDRP/Shared Documents/BD Profiles/"/>
    </mc:Choice>
  </mc:AlternateContent>
  <xr:revisionPtr revIDLastSave="10" documentId="8_{2D60947C-4E09-45D5-B9A9-2ACE53487C8B}" xr6:coauthVersionLast="47" xr6:coauthVersionMax="47" xr10:uidLastSave="{A5C59793-D014-4FA9-B007-FAABE13D901E}"/>
  <bookViews>
    <workbookView xWindow="-120" yWindow="-120" windowWidth="29040" windowHeight="15720" xr2:uid="{CC826CD0-AFC1-4EEA-B75C-881692BD54C4}"/>
  </bookViews>
  <sheets>
    <sheet name="data" sheetId="1" r:id="rId1"/>
  </sheets>
  <calcPr calcId="0"/>
</workbook>
</file>

<file path=xl/calcChain.xml><?xml version="1.0" encoding="utf-8"?>
<calcChain xmlns="http://schemas.openxmlformats.org/spreadsheetml/2006/main">
  <c r="C52" i="1" l="1"/>
</calcChain>
</file>

<file path=xl/sharedStrings.xml><?xml version="1.0" encoding="utf-8"?>
<sst xmlns="http://schemas.openxmlformats.org/spreadsheetml/2006/main" count="385" uniqueCount="108">
  <si>
    <t>Grantmaker Name</t>
  </si>
  <si>
    <t>Grantmaker State</t>
  </si>
  <si>
    <t>Recipient Name</t>
  </si>
  <si>
    <t>Recipient City</t>
  </si>
  <si>
    <t>Recipient State/Country</t>
  </si>
  <si>
    <t>Primary Subject</t>
  </si>
  <si>
    <t>Year Authorized</t>
  </si>
  <si>
    <t>Grant Amount</t>
  </si>
  <si>
    <t>Support Strategies</t>
  </si>
  <si>
    <t>Description</t>
  </si>
  <si>
    <t>American Online Giving Foundation Inc</t>
  </si>
  <si>
    <t>DE</t>
  </si>
  <si>
    <t>Manhattan College</t>
  </si>
  <si>
    <t>Riverdale</t>
  </si>
  <si>
    <t>NY</t>
  </si>
  <si>
    <t xml:space="preserve"> </t>
  </si>
  <si>
    <t>General support</t>
  </si>
  <si>
    <t>GENERAL SUPPORT</t>
  </si>
  <si>
    <t>Vanguard Charitable</t>
  </si>
  <si>
    <t>PA</t>
  </si>
  <si>
    <t>FOR RECIPIENT&amp;#039;S EXEMPT PURPOSE</t>
  </si>
  <si>
    <t>National Collegiate Athletic Association</t>
  </si>
  <si>
    <t>IN</t>
  </si>
  <si>
    <t>Bronx</t>
  </si>
  <si>
    <t xml:space="preserve">Higher education </t>
  </si>
  <si>
    <t>Grants/Scholarships</t>
  </si>
  <si>
    <t>The Bessemer Giving Fund C/o Bessemer Trust Company Trustee</t>
  </si>
  <si>
    <t>NJ</t>
  </si>
  <si>
    <t>GENERAL OPERATING SUPPORT</t>
  </si>
  <si>
    <t>Metro Atlantic Athletic Conference Inc</t>
  </si>
  <si>
    <t>TO SUPPORT MEMBER INSTITUTION</t>
  </si>
  <si>
    <t>Morgan Stanley Global Impact Funding Trust Inc</t>
  </si>
  <si>
    <t>UNRESTRICTED GENERAL SUPPORT</t>
  </si>
  <si>
    <t>Donor Advised Charitable Giving, Inc.</t>
  </si>
  <si>
    <t>CO</t>
  </si>
  <si>
    <t>EDUCATION</t>
  </si>
  <si>
    <t>University of Notre Dame Du Lac</t>
  </si>
  <si>
    <t>See Part IV</t>
  </si>
  <si>
    <t>National Philanthropic Trust</t>
  </si>
  <si>
    <t>American Chemical Society</t>
  </si>
  <si>
    <t>DC</t>
  </si>
  <si>
    <t>Charities Aid Foundation of America</t>
  </si>
  <si>
    <t>VA</t>
  </si>
  <si>
    <t>CHARITABLE DONATION</t>
  </si>
  <si>
    <t>The New York Community Trust</t>
  </si>
  <si>
    <t xml:space="preserve">Education </t>
  </si>
  <si>
    <t>Scholarships</t>
  </si>
  <si>
    <t>FOR A SCHOLARSHIP AWARD.</t>
  </si>
  <si>
    <t>National Fish and Wildlife Foundation</t>
  </si>
  <si>
    <t xml:space="preserve">Rivers and lakes </t>
  </si>
  <si>
    <t>NEW YORK LIVING SHORELINES TO RESTORE WATERSHEDS</t>
  </si>
  <si>
    <t>Smalley Foundation Inc</t>
  </si>
  <si>
    <t xml:space="preserve">University education </t>
  </si>
  <si>
    <t>Scholarships;Camperships</t>
  </si>
  <si>
    <t>SCHOLARSHIP PROGRAM: SCHOLARSHIP</t>
  </si>
  <si>
    <t>The American University of Rome</t>
  </si>
  <si>
    <t xml:space="preserve">Educational exchanges </t>
  </si>
  <si>
    <t>SCHOLARSHIPS/STUDY ABROAD PROGRAM</t>
  </si>
  <si>
    <t>Paluszek Family Foundation Inc</t>
  </si>
  <si>
    <t>Manhattan College Corp</t>
  </si>
  <si>
    <t>TO PROVIDE STUDENTS WITH FINANCIUAL NEEDS THE RESOURCES TO FINISH THEIR HIGHER EDUCATION</t>
  </si>
  <si>
    <t>The Ayco Charitable Foundation</t>
  </si>
  <si>
    <t>Margaret and Robert Walter Foundation</t>
  </si>
  <si>
    <t>OH</t>
  </si>
  <si>
    <t>Montefiore Medical Center</t>
  </si>
  <si>
    <t>Sponsorships</t>
  </si>
  <si>
    <t>SPONSORSHIP</t>
  </si>
  <si>
    <t>Pga Tour Inc</t>
  </si>
  <si>
    <t>FL</t>
  </si>
  <si>
    <t>winners of the Moles Scholarship.</t>
  </si>
  <si>
    <t>Tulsa Community Foundation</t>
  </si>
  <si>
    <t>OK</t>
  </si>
  <si>
    <t>GENERAL OPERATIONS</t>
  </si>
  <si>
    <t>Fidelity Investments Charitable Gift Fund</t>
  </si>
  <si>
    <t>MA</t>
  </si>
  <si>
    <t>For grant recipient&amp;#039;s exempt purposes</t>
  </si>
  <si>
    <t>Air Products Foundation</t>
  </si>
  <si>
    <t>AIR PRODUCTS CONTRIBUTION TO MANHATTAN COLLEGE</t>
  </si>
  <si>
    <t>Mutual of America Foundation</t>
  </si>
  <si>
    <t xml:space="preserve">Exercise </t>
  </si>
  <si>
    <t>GENERAL OPERATING PURPOSE</t>
  </si>
  <si>
    <t>The Chesapeake Charitable Foundation</t>
  </si>
  <si>
    <t>BROTHER KENNETH SCHOLARSHIP</t>
  </si>
  <si>
    <t xml:space="preserve">Engineering </t>
  </si>
  <si>
    <t>AIR PRODUCTS GRANT FOR CHEMICAL ENGINEERING DEPT. AT MANHATTAN COLLEGE</t>
  </si>
  <si>
    <t>The Td &amp; Ma O'malley Foundation Inc</t>
  </si>
  <si>
    <t xml:space="preserve">Religion </t>
  </si>
  <si>
    <t>TO SUPPORT THE STUDENTS GROWTH AND DEVELOPMENT OF THE MIND, BODY AND SPIRIT.</t>
  </si>
  <si>
    <t>Deb &amp; Bob Pulver Foundation</t>
  </si>
  <si>
    <t>IA</t>
  </si>
  <si>
    <t>General operating budget</t>
  </si>
  <si>
    <t>GE Aerospace Foundation.</t>
  </si>
  <si>
    <t>CT</t>
  </si>
  <si>
    <t>MATCHING GIFTS</t>
  </si>
  <si>
    <t>Neil &amp; Sandra Defeo Family Foundati</t>
  </si>
  <si>
    <t>Endowments</t>
  </si>
  <si>
    <t>Endowment</t>
  </si>
  <si>
    <t>Zock Endowment Trust 5129887</t>
  </si>
  <si>
    <t>For organization&amp;#039;s general purposes</t>
  </si>
  <si>
    <t>General operations</t>
  </si>
  <si>
    <t>Alfred P. Sloan Foundation</t>
  </si>
  <si>
    <t>To conduct sustainability planning activities for the Engaging, Educating, Empowering Means Change (E3mC) program</t>
  </si>
  <si>
    <t>Scholarship program: scholarship</t>
  </si>
  <si>
    <t xml:space="preserve">School athletics </t>
  </si>
  <si>
    <t>Student aid</t>
  </si>
  <si>
    <t>CASH GRANT - SUMMER TUITION ASSISTANCE AND ROOM AND BOARD FOR ELIGIBLE STUDENT ATHLETES</t>
  </si>
  <si>
    <t>FOR ORGANIZATION&amp;#039;S GENERAL PURPOSES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</si>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</sst>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$&quot;* #,##0_);_(&quot;$&quot;* \(#,##0\);_(&quot;$&quot;* &quot;-&quot;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2" fontId="0" fillId="0" borderId="0" xfId="0" applyNumberFormat="1"/>
    <xf numFmtId="0" fontId="16" fillId="0" borderId="0" xfId="0" applyFont="1"/>
    <xf numFmtId="42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8BACC-65F4-4FF1-9DB2-68D752A3D754}">
  <dimension ref="A1:J52"/>
  <sheetViews>
    <sheetView tabSelected="1" workbookViewId="0">
      <selection activeCell="F27" sqref="A1:J52"/>
    </sheetView>
  </sheetViews>
  <sheetFormatPr defaultRowHeight="15" x14ac:dyDescent="0.25"/>
  <cols>
    <col min="1" max="1" width="59.5703125" customWidth="1"/>
    <col min="2" max="2" width="14.85546875" bestFit="1" customWidth="1"/>
    <col min="3" max="3" width="14.7109375" style="1" bestFit="1" customWidth="1"/>
    <col min="4" max="4" width="16.28515625" bestFit="1" customWidth="1"/>
    <col min="5" max="5" width="22.42578125" bestFit="1" customWidth="1"/>
    <col min="6" max="6" width="12.7109375" bestFit="1" customWidth="1"/>
    <col min="7" max="7" width="21.7109375" bestFit="1" customWidth="1"/>
    <col min="8" max="8" width="22.140625" bestFit="1" customWidth="1"/>
    <col min="9" max="9" width="25.28515625" bestFit="1" customWidth="1"/>
    <col min="10" max="10" width="107" bestFit="1" customWidth="1"/>
  </cols>
  <sheetData>
    <row r="1" spans="1:10" x14ac:dyDescent="0.25">
      <c r="A1" t="s">
        <v>0</v>
      </c>
      <c r="B1" t="s">
        <v>6</v>
      </c>
      <c r="C1" s="1" t="s">
        <v>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8</v>
      </c>
      <c r="J1" t="s">
        <v>9</v>
      </c>
    </row>
    <row r="2" spans="1:10" x14ac:dyDescent="0.25">
      <c r="A2" t="s">
        <v>10</v>
      </c>
      <c r="B2">
        <v>2025</v>
      </c>
      <c r="C2" s="1">
        <v>51807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2024</v>
      </c>
      <c r="C3" s="1">
        <v>1649200</v>
      </c>
      <c r="D3" t="s">
        <v>19</v>
      </c>
      <c r="E3" t="s">
        <v>12</v>
      </c>
      <c r="F3" t="s">
        <v>13</v>
      </c>
      <c r="G3" t="s">
        <v>14</v>
      </c>
      <c r="H3" t="s">
        <v>15</v>
      </c>
      <c r="J3" t="s">
        <v>20</v>
      </c>
    </row>
    <row r="4" spans="1:10" x14ac:dyDescent="0.25">
      <c r="A4" t="s">
        <v>21</v>
      </c>
      <c r="B4">
        <v>2024</v>
      </c>
      <c r="C4" s="1">
        <v>290305</v>
      </c>
      <c r="D4" t="s">
        <v>22</v>
      </c>
      <c r="E4" t="s">
        <v>12</v>
      </c>
      <c r="F4" t="s">
        <v>23</v>
      </c>
      <c r="G4" t="s">
        <v>14</v>
      </c>
      <c r="H4" t="s">
        <v>24</v>
      </c>
      <c r="J4" t="s">
        <v>25</v>
      </c>
    </row>
    <row r="5" spans="1:10" x14ac:dyDescent="0.25">
      <c r="A5" t="s">
        <v>26</v>
      </c>
      <c r="B5">
        <v>2024</v>
      </c>
      <c r="C5" s="1">
        <v>260000</v>
      </c>
      <c r="D5" t="s">
        <v>27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28</v>
      </c>
    </row>
    <row r="6" spans="1:10" x14ac:dyDescent="0.25">
      <c r="A6" t="s">
        <v>29</v>
      </c>
      <c r="B6">
        <v>2024</v>
      </c>
      <c r="C6" s="1">
        <v>206137</v>
      </c>
      <c r="D6" t="s">
        <v>27</v>
      </c>
      <c r="E6" t="s">
        <v>12</v>
      </c>
      <c r="F6" t="s">
        <v>13</v>
      </c>
      <c r="G6" t="s">
        <v>14</v>
      </c>
      <c r="H6" t="s">
        <v>15</v>
      </c>
      <c r="J6" t="s">
        <v>30</v>
      </c>
    </row>
    <row r="7" spans="1:10" x14ac:dyDescent="0.25">
      <c r="A7" t="s">
        <v>31</v>
      </c>
      <c r="B7">
        <v>2024</v>
      </c>
      <c r="C7" s="1">
        <v>200000</v>
      </c>
      <c r="D7" t="s">
        <v>22</v>
      </c>
      <c r="E7" t="s">
        <v>12</v>
      </c>
      <c r="F7" t="s">
        <v>23</v>
      </c>
      <c r="G7" t="s">
        <v>14</v>
      </c>
      <c r="H7" t="s">
        <v>24</v>
      </c>
      <c r="I7" t="s">
        <v>16</v>
      </c>
      <c r="J7" t="s">
        <v>32</v>
      </c>
    </row>
    <row r="8" spans="1:10" x14ac:dyDescent="0.25">
      <c r="A8" t="s">
        <v>33</v>
      </c>
      <c r="B8">
        <v>2024</v>
      </c>
      <c r="C8" s="1">
        <v>164050</v>
      </c>
      <c r="D8" t="s">
        <v>34</v>
      </c>
      <c r="E8" t="s">
        <v>12</v>
      </c>
      <c r="F8" t="s">
        <v>13</v>
      </c>
      <c r="G8" t="s">
        <v>14</v>
      </c>
      <c r="H8" t="s">
        <v>15</v>
      </c>
      <c r="J8" t="s">
        <v>35</v>
      </c>
    </row>
    <row r="9" spans="1:10" x14ac:dyDescent="0.25">
      <c r="A9" t="s">
        <v>10</v>
      </c>
      <c r="B9">
        <v>2024</v>
      </c>
      <c r="C9" s="1">
        <v>130657</v>
      </c>
      <c r="D9" t="s">
        <v>11</v>
      </c>
      <c r="E9" t="s">
        <v>12</v>
      </c>
      <c r="F9" t="s">
        <v>23</v>
      </c>
      <c r="G9" t="s">
        <v>14</v>
      </c>
      <c r="H9" t="s">
        <v>24</v>
      </c>
      <c r="I9" t="s">
        <v>16</v>
      </c>
      <c r="J9" t="s">
        <v>17</v>
      </c>
    </row>
    <row r="10" spans="1:10" x14ac:dyDescent="0.25">
      <c r="A10" t="s">
        <v>36</v>
      </c>
      <c r="B10">
        <v>2024</v>
      </c>
      <c r="C10" s="1">
        <v>123000</v>
      </c>
      <c r="D10" t="s">
        <v>22</v>
      </c>
      <c r="E10" t="s">
        <v>12</v>
      </c>
      <c r="F10" t="s">
        <v>23</v>
      </c>
      <c r="G10" t="s">
        <v>14</v>
      </c>
      <c r="H10" t="s">
        <v>24</v>
      </c>
      <c r="J10" t="s">
        <v>37</v>
      </c>
    </row>
    <row r="11" spans="1:10" x14ac:dyDescent="0.25">
      <c r="A11" t="s">
        <v>38</v>
      </c>
      <c r="B11">
        <v>2024</v>
      </c>
      <c r="C11" s="1">
        <v>72500</v>
      </c>
      <c r="D11" t="s">
        <v>19</v>
      </c>
      <c r="E11" t="s">
        <v>12</v>
      </c>
      <c r="F11" t="s">
        <v>13</v>
      </c>
      <c r="G11" t="s">
        <v>14</v>
      </c>
      <c r="H11" t="s">
        <v>15</v>
      </c>
      <c r="J11" t="s">
        <v>35</v>
      </c>
    </row>
    <row r="12" spans="1:10" x14ac:dyDescent="0.25">
      <c r="A12" t="s">
        <v>39</v>
      </c>
      <c r="B12">
        <v>2024</v>
      </c>
      <c r="C12" s="1">
        <v>46528</v>
      </c>
      <c r="D12" t="s">
        <v>40</v>
      </c>
      <c r="E12" t="s">
        <v>12</v>
      </c>
      <c r="F12" t="s">
        <v>23</v>
      </c>
      <c r="G12" t="s">
        <v>14</v>
      </c>
      <c r="H12" t="s">
        <v>24</v>
      </c>
      <c r="I12" t="s">
        <v>16</v>
      </c>
      <c r="J12" t="s">
        <v>17</v>
      </c>
    </row>
    <row r="13" spans="1:10" x14ac:dyDescent="0.25">
      <c r="A13" t="s">
        <v>41</v>
      </c>
      <c r="B13">
        <v>2024</v>
      </c>
      <c r="C13" s="1">
        <v>42000</v>
      </c>
      <c r="D13" t="s">
        <v>42</v>
      </c>
      <c r="E13" t="s">
        <v>12</v>
      </c>
      <c r="F13" t="s">
        <v>13</v>
      </c>
      <c r="G13" t="s">
        <v>14</v>
      </c>
      <c r="H13" t="s">
        <v>15</v>
      </c>
      <c r="J13" t="s">
        <v>43</v>
      </c>
    </row>
    <row r="14" spans="1:10" x14ac:dyDescent="0.25">
      <c r="A14" t="s">
        <v>44</v>
      </c>
      <c r="B14">
        <v>2024</v>
      </c>
      <c r="C14" s="1">
        <v>30000</v>
      </c>
      <c r="D14" t="s">
        <v>14</v>
      </c>
      <c r="E14" t="s">
        <v>12</v>
      </c>
      <c r="F14" t="s">
        <v>23</v>
      </c>
      <c r="G14" t="s">
        <v>14</v>
      </c>
      <c r="H14" t="s">
        <v>45</v>
      </c>
      <c r="I14" t="s">
        <v>46</v>
      </c>
      <c r="J14" t="s">
        <v>47</v>
      </c>
    </row>
    <row r="15" spans="1:10" x14ac:dyDescent="0.25">
      <c r="A15" t="s">
        <v>48</v>
      </c>
      <c r="B15">
        <v>2024</v>
      </c>
      <c r="C15" s="1">
        <v>25326</v>
      </c>
      <c r="D15" t="s">
        <v>40</v>
      </c>
      <c r="E15" t="s">
        <v>12</v>
      </c>
      <c r="F15" t="s">
        <v>13</v>
      </c>
      <c r="G15" t="s">
        <v>14</v>
      </c>
      <c r="H15" t="s">
        <v>49</v>
      </c>
      <c r="J15" t="s">
        <v>50</v>
      </c>
    </row>
    <row r="16" spans="1:10" x14ac:dyDescent="0.25">
      <c r="A16" t="s">
        <v>51</v>
      </c>
      <c r="B16">
        <v>2024</v>
      </c>
      <c r="C16" s="1">
        <v>25000</v>
      </c>
      <c r="D16" t="s">
        <v>14</v>
      </c>
      <c r="E16" t="s">
        <v>12</v>
      </c>
      <c r="F16" t="s">
        <v>23</v>
      </c>
      <c r="G16" t="s">
        <v>14</v>
      </c>
      <c r="H16" t="s">
        <v>52</v>
      </c>
      <c r="I16" t="s">
        <v>53</v>
      </c>
      <c r="J16" t="s">
        <v>54</v>
      </c>
    </row>
    <row r="17" spans="1:10" x14ac:dyDescent="0.25">
      <c r="A17" t="s">
        <v>55</v>
      </c>
      <c r="B17">
        <v>2024</v>
      </c>
      <c r="C17" s="1">
        <v>22481</v>
      </c>
      <c r="E17" t="s">
        <v>12</v>
      </c>
      <c r="F17" t="s">
        <v>23</v>
      </c>
      <c r="G17" t="s">
        <v>14</v>
      </c>
      <c r="H17" t="s">
        <v>56</v>
      </c>
      <c r="I17" t="s">
        <v>46</v>
      </c>
      <c r="J17" t="s">
        <v>57</v>
      </c>
    </row>
    <row r="18" spans="1:10" x14ac:dyDescent="0.25">
      <c r="A18" t="s">
        <v>58</v>
      </c>
      <c r="B18">
        <v>2024</v>
      </c>
      <c r="C18" s="1">
        <v>20000</v>
      </c>
      <c r="D18" t="s">
        <v>14</v>
      </c>
      <c r="E18" t="s">
        <v>59</v>
      </c>
      <c r="F18" t="s">
        <v>23</v>
      </c>
      <c r="G18" t="s">
        <v>14</v>
      </c>
      <c r="H18" t="s">
        <v>24</v>
      </c>
      <c r="J18" t="s">
        <v>60</v>
      </c>
    </row>
    <row r="19" spans="1:10" x14ac:dyDescent="0.25">
      <c r="A19" t="s">
        <v>31</v>
      </c>
      <c r="B19">
        <v>2023</v>
      </c>
      <c r="C19" s="1">
        <v>205000</v>
      </c>
      <c r="D19" t="s">
        <v>22</v>
      </c>
      <c r="E19" t="s">
        <v>12</v>
      </c>
      <c r="F19" t="s">
        <v>23</v>
      </c>
      <c r="G19" t="s">
        <v>14</v>
      </c>
      <c r="H19" t="s">
        <v>24</v>
      </c>
      <c r="I19" t="s">
        <v>16</v>
      </c>
      <c r="J19" t="s">
        <v>32</v>
      </c>
    </row>
    <row r="20" spans="1:10" x14ac:dyDescent="0.25">
      <c r="A20" t="s">
        <v>61</v>
      </c>
      <c r="B20">
        <v>2023</v>
      </c>
      <c r="C20" s="1">
        <v>167500</v>
      </c>
      <c r="D20" t="s">
        <v>14</v>
      </c>
      <c r="E20" t="s">
        <v>12</v>
      </c>
      <c r="F20" t="s">
        <v>23</v>
      </c>
      <c r="G20" t="s">
        <v>14</v>
      </c>
      <c r="H20" t="s">
        <v>24</v>
      </c>
      <c r="J20" t="s">
        <v>35</v>
      </c>
    </row>
    <row r="21" spans="1:10" x14ac:dyDescent="0.25">
      <c r="A21" t="s">
        <v>62</v>
      </c>
      <c r="B21">
        <v>2023</v>
      </c>
      <c r="C21" s="1">
        <v>75000</v>
      </c>
      <c r="D21" t="s">
        <v>63</v>
      </c>
      <c r="E21" t="s">
        <v>12</v>
      </c>
      <c r="F21" t="s">
        <v>23</v>
      </c>
      <c r="G21" t="s">
        <v>14</v>
      </c>
      <c r="H21" t="s">
        <v>24</v>
      </c>
      <c r="J21" t="s">
        <v>35</v>
      </c>
    </row>
    <row r="22" spans="1:10" x14ac:dyDescent="0.25">
      <c r="A22" t="s">
        <v>39</v>
      </c>
      <c r="B22">
        <v>2023</v>
      </c>
      <c r="C22" s="1">
        <v>50168</v>
      </c>
      <c r="D22" t="s">
        <v>40</v>
      </c>
      <c r="E22" t="s">
        <v>12</v>
      </c>
      <c r="F22" t="s">
        <v>23</v>
      </c>
      <c r="G22" t="s">
        <v>14</v>
      </c>
      <c r="H22" t="s">
        <v>24</v>
      </c>
      <c r="I22" t="s">
        <v>16</v>
      </c>
      <c r="J22" t="s">
        <v>17</v>
      </c>
    </row>
    <row r="23" spans="1:10" x14ac:dyDescent="0.25">
      <c r="A23" t="s">
        <v>64</v>
      </c>
      <c r="B23">
        <v>2023</v>
      </c>
      <c r="C23" s="1">
        <v>50000</v>
      </c>
      <c r="D23" t="s">
        <v>14</v>
      </c>
      <c r="E23" t="s">
        <v>12</v>
      </c>
      <c r="F23" t="s">
        <v>23</v>
      </c>
      <c r="G23" t="s">
        <v>14</v>
      </c>
      <c r="H23" t="s">
        <v>24</v>
      </c>
      <c r="I23" t="s">
        <v>65</v>
      </c>
      <c r="J23" t="s">
        <v>66</v>
      </c>
    </row>
    <row r="24" spans="1:10" x14ac:dyDescent="0.25">
      <c r="A24" t="s">
        <v>51</v>
      </c>
      <c r="B24">
        <v>2023</v>
      </c>
      <c r="C24" s="1">
        <v>50000</v>
      </c>
      <c r="D24" t="s">
        <v>14</v>
      </c>
      <c r="E24" t="s">
        <v>12</v>
      </c>
      <c r="F24" t="s">
        <v>23</v>
      </c>
      <c r="G24" t="s">
        <v>14</v>
      </c>
      <c r="H24" t="s">
        <v>52</v>
      </c>
      <c r="I24" t="s">
        <v>53</v>
      </c>
      <c r="J24" t="s">
        <v>54</v>
      </c>
    </row>
    <row r="25" spans="1:10" x14ac:dyDescent="0.25">
      <c r="A25" t="s">
        <v>67</v>
      </c>
      <c r="B25">
        <v>2023</v>
      </c>
      <c r="C25" s="1">
        <v>25000</v>
      </c>
      <c r="D25" t="s">
        <v>68</v>
      </c>
      <c r="E25" t="s">
        <v>12</v>
      </c>
      <c r="F25" t="s">
        <v>23</v>
      </c>
      <c r="G25" t="s">
        <v>14</v>
      </c>
      <c r="H25" t="s">
        <v>24</v>
      </c>
      <c r="I25" t="s">
        <v>16</v>
      </c>
      <c r="J25" t="s">
        <v>17</v>
      </c>
    </row>
    <row r="26" spans="1:10" x14ac:dyDescent="0.25">
      <c r="A26" t="s">
        <v>44</v>
      </c>
      <c r="B26">
        <v>2023</v>
      </c>
      <c r="C26" s="1">
        <v>25000</v>
      </c>
      <c r="D26" t="s">
        <v>14</v>
      </c>
      <c r="E26" t="s">
        <v>12</v>
      </c>
      <c r="F26" t="s">
        <v>23</v>
      </c>
      <c r="G26" t="s">
        <v>14</v>
      </c>
      <c r="H26" t="s">
        <v>45</v>
      </c>
      <c r="I26" t="s">
        <v>46</v>
      </c>
      <c r="J26" t="s">
        <v>69</v>
      </c>
    </row>
    <row r="27" spans="1:10" x14ac:dyDescent="0.25">
      <c r="A27" t="s">
        <v>70</v>
      </c>
      <c r="B27">
        <v>2023</v>
      </c>
      <c r="C27" s="1">
        <v>24250</v>
      </c>
      <c r="D27" t="s">
        <v>71</v>
      </c>
      <c r="E27" t="s">
        <v>12</v>
      </c>
      <c r="F27" t="s">
        <v>23</v>
      </c>
      <c r="G27" t="s">
        <v>14</v>
      </c>
      <c r="H27" t="s">
        <v>24</v>
      </c>
      <c r="I27" t="s">
        <v>16</v>
      </c>
      <c r="J27" t="s">
        <v>72</v>
      </c>
    </row>
    <row r="28" spans="1:10" x14ac:dyDescent="0.25">
      <c r="A28" t="s">
        <v>73</v>
      </c>
      <c r="B28">
        <v>2022</v>
      </c>
      <c r="C28" s="1">
        <v>499900</v>
      </c>
      <c r="D28" t="s">
        <v>74</v>
      </c>
      <c r="E28" t="s">
        <v>12</v>
      </c>
      <c r="F28" t="s">
        <v>23</v>
      </c>
      <c r="G28" t="s">
        <v>14</v>
      </c>
      <c r="H28" t="s">
        <v>24</v>
      </c>
      <c r="J28" t="s">
        <v>75</v>
      </c>
    </row>
    <row r="29" spans="1:10" x14ac:dyDescent="0.25">
      <c r="A29" t="s">
        <v>76</v>
      </c>
      <c r="B29">
        <v>2022</v>
      </c>
      <c r="C29" s="1">
        <v>35000</v>
      </c>
      <c r="D29" t="s">
        <v>19</v>
      </c>
      <c r="E29" t="s">
        <v>12</v>
      </c>
      <c r="F29" t="s">
        <v>13</v>
      </c>
      <c r="G29" t="s">
        <v>14</v>
      </c>
      <c r="H29" t="s">
        <v>24</v>
      </c>
      <c r="J29" t="s">
        <v>77</v>
      </c>
    </row>
    <row r="30" spans="1:10" x14ac:dyDescent="0.25">
      <c r="A30" t="s">
        <v>78</v>
      </c>
      <c r="B30">
        <v>2022</v>
      </c>
      <c r="C30" s="1">
        <v>30500</v>
      </c>
      <c r="D30" t="s">
        <v>14</v>
      </c>
      <c r="E30" t="s">
        <v>12</v>
      </c>
      <c r="F30" t="s">
        <v>13</v>
      </c>
      <c r="G30" t="s">
        <v>14</v>
      </c>
      <c r="H30" t="s">
        <v>79</v>
      </c>
      <c r="I30" t="s">
        <v>16</v>
      </c>
      <c r="J30" t="s">
        <v>80</v>
      </c>
    </row>
    <row r="31" spans="1:10" x14ac:dyDescent="0.25">
      <c r="A31" t="s">
        <v>81</v>
      </c>
      <c r="B31">
        <v>2022</v>
      </c>
      <c r="C31" s="1">
        <v>30000</v>
      </c>
      <c r="D31" t="s">
        <v>68</v>
      </c>
      <c r="E31" t="s">
        <v>12</v>
      </c>
      <c r="F31" t="s">
        <v>13</v>
      </c>
      <c r="G31" t="s">
        <v>14</v>
      </c>
      <c r="H31" t="s">
        <v>15</v>
      </c>
      <c r="I31" t="s">
        <v>46</v>
      </c>
      <c r="J31" t="s">
        <v>82</v>
      </c>
    </row>
    <row r="32" spans="1:10" x14ac:dyDescent="0.25">
      <c r="A32" t="s">
        <v>44</v>
      </c>
      <c r="B32">
        <v>2022</v>
      </c>
      <c r="C32" s="1">
        <v>25000</v>
      </c>
      <c r="D32" t="s">
        <v>14</v>
      </c>
      <c r="E32" t="s">
        <v>12</v>
      </c>
      <c r="F32" t="s">
        <v>23</v>
      </c>
      <c r="G32" t="s">
        <v>14</v>
      </c>
      <c r="H32" t="s">
        <v>24</v>
      </c>
    </row>
    <row r="33" spans="1:10" x14ac:dyDescent="0.25">
      <c r="A33" t="s">
        <v>76</v>
      </c>
      <c r="B33">
        <v>2021</v>
      </c>
      <c r="C33" s="1">
        <v>40000</v>
      </c>
      <c r="D33" t="s">
        <v>19</v>
      </c>
      <c r="E33" t="s">
        <v>12</v>
      </c>
      <c r="F33" t="s">
        <v>13</v>
      </c>
      <c r="G33" t="s">
        <v>14</v>
      </c>
      <c r="H33" t="s">
        <v>83</v>
      </c>
      <c r="J33" t="s">
        <v>84</v>
      </c>
    </row>
    <row r="34" spans="1:10" x14ac:dyDescent="0.25">
      <c r="A34" t="s">
        <v>78</v>
      </c>
      <c r="B34">
        <v>2021</v>
      </c>
      <c r="C34" s="1">
        <v>30500</v>
      </c>
      <c r="D34" t="s">
        <v>14</v>
      </c>
      <c r="E34" t="s">
        <v>12</v>
      </c>
      <c r="F34" t="s">
        <v>13</v>
      </c>
      <c r="G34" t="s">
        <v>14</v>
      </c>
      <c r="H34" t="s">
        <v>79</v>
      </c>
      <c r="I34" t="s">
        <v>16</v>
      </c>
      <c r="J34" t="s">
        <v>80</v>
      </c>
    </row>
    <row r="35" spans="1:10" x14ac:dyDescent="0.25">
      <c r="A35" t="s">
        <v>85</v>
      </c>
      <c r="B35">
        <v>2021</v>
      </c>
      <c r="C35" s="1">
        <v>25000</v>
      </c>
      <c r="D35" t="s">
        <v>68</v>
      </c>
      <c r="E35" t="s">
        <v>12</v>
      </c>
      <c r="F35" t="s">
        <v>13</v>
      </c>
      <c r="G35" t="s">
        <v>14</v>
      </c>
      <c r="H35" t="s">
        <v>86</v>
      </c>
      <c r="J35" t="s">
        <v>87</v>
      </c>
    </row>
    <row r="36" spans="1:10" x14ac:dyDescent="0.25">
      <c r="A36" t="s">
        <v>73</v>
      </c>
      <c r="B36">
        <v>2020</v>
      </c>
      <c r="C36" s="1">
        <v>493735</v>
      </c>
      <c r="D36" t="s">
        <v>74</v>
      </c>
      <c r="E36" t="s">
        <v>12</v>
      </c>
      <c r="F36" t="s">
        <v>23</v>
      </c>
      <c r="G36" t="s">
        <v>14</v>
      </c>
      <c r="H36" t="s">
        <v>24</v>
      </c>
      <c r="J36" t="s">
        <v>75</v>
      </c>
    </row>
    <row r="37" spans="1:10" x14ac:dyDescent="0.25">
      <c r="A37" t="s">
        <v>88</v>
      </c>
      <c r="B37">
        <v>2020</v>
      </c>
      <c r="C37" s="1">
        <v>400000</v>
      </c>
      <c r="D37" t="s">
        <v>89</v>
      </c>
      <c r="E37" t="s">
        <v>12</v>
      </c>
      <c r="F37" t="s">
        <v>23</v>
      </c>
      <c r="G37" t="s">
        <v>14</v>
      </c>
      <c r="H37" t="s">
        <v>24</v>
      </c>
      <c r="I37" t="s">
        <v>16</v>
      </c>
      <c r="J37" t="s">
        <v>90</v>
      </c>
    </row>
    <row r="38" spans="1:10" x14ac:dyDescent="0.25">
      <c r="A38" t="s">
        <v>78</v>
      </c>
      <c r="B38">
        <v>2020</v>
      </c>
      <c r="C38" s="1">
        <v>53000</v>
      </c>
      <c r="D38" t="s">
        <v>14</v>
      </c>
      <c r="E38" t="s">
        <v>12</v>
      </c>
      <c r="F38" t="s">
        <v>13</v>
      </c>
      <c r="G38" t="s">
        <v>14</v>
      </c>
      <c r="H38" t="s">
        <v>79</v>
      </c>
      <c r="I38" t="s">
        <v>16</v>
      </c>
      <c r="J38" t="s">
        <v>80</v>
      </c>
    </row>
    <row r="39" spans="1:10" x14ac:dyDescent="0.25">
      <c r="A39" t="s">
        <v>91</v>
      </c>
      <c r="B39">
        <v>2020</v>
      </c>
      <c r="C39" s="1">
        <v>44900</v>
      </c>
      <c r="D39" t="s">
        <v>92</v>
      </c>
      <c r="E39" t="s">
        <v>12</v>
      </c>
      <c r="F39" t="s">
        <v>13</v>
      </c>
      <c r="G39" t="s">
        <v>14</v>
      </c>
      <c r="H39" t="s">
        <v>15</v>
      </c>
      <c r="J39" t="s">
        <v>93</v>
      </c>
    </row>
    <row r="40" spans="1:10" x14ac:dyDescent="0.25">
      <c r="A40" t="s">
        <v>51</v>
      </c>
      <c r="B40">
        <v>2020</v>
      </c>
      <c r="C40" s="1">
        <v>25000</v>
      </c>
      <c r="D40" t="s">
        <v>14</v>
      </c>
      <c r="E40" t="s">
        <v>12</v>
      </c>
      <c r="F40" t="s">
        <v>23</v>
      </c>
      <c r="G40" t="s">
        <v>14</v>
      </c>
      <c r="H40" t="s">
        <v>52</v>
      </c>
      <c r="I40" t="s">
        <v>53</v>
      </c>
      <c r="J40" t="s">
        <v>54</v>
      </c>
    </row>
    <row r="41" spans="1:10" x14ac:dyDescent="0.25">
      <c r="A41" t="s">
        <v>94</v>
      </c>
      <c r="B41">
        <v>2020</v>
      </c>
      <c r="C41" s="1">
        <v>20000</v>
      </c>
      <c r="D41" t="s">
        <v>68</v>
      </c>
      <c r="E41" t="s">
        <v>12</v>
      </c>
      <c r="F41" t="s">
        <v>13</v>
      </c>
      <c r="G41" t="s">
        <v>14</v>
      </c>
      <c r="H41" t="s">
        <v>15</v>
      </c>
      <c r="J41" t="s">
        <v>35</v>
      </c>
    </row>
    <row r="42" spans="1:10" x14ac:dyDescent="0.25">
      <c r="A42" t="s">
        <v>73</v>
      </c>
      <c r="B42">
        <v>2019</v>
      </c>
      <c r="C42" s="1">
        <v>134000</v>
      </c>
      <c r="D42" t="s">
        <v>74</v>
      </c>
      <c r="E42" t="s">
        <v>12</v>
      </c>
      <c r="F42" t="s">
        <v>23</v>
      </c>
      <c r="G42" t="s">
        <v>14</v>
      </c>
      <c r="H42" t="s">
        <v>24</v>
      </c>
      <c r="J42" t="s">
        <v>75</v>
      </c>
    </row>
    <row r="43" spans="1:10" x14ac:dyDescent="0.25">
      <c r="A43" t="s">
        <v>51</v>
      </c>
      <c r="B43">
        <v>2019</v>
      </c>
      <c r="C43" s="1">
        <v>125000</v>
      </c>
      <c r="D43" t="s">
        <v>14</v>
      </c>
      <c r="E43" t="s">
        <v>12</v>
      </c>
      <c r="F43" t="s">
        <v>23</v>
      </c>
      <c r="G43" t="s">
        <v>14</v>
      </c>
      <c r="H43" t="s">
        <v>24</v>
      </c>
      <c r="I43" t="s">
        <v>95</v>
      </c>
      <c r="J43" t="s">
        <v>96</v>
      </c>
    </row>
    <row r="44" spans="1:10" x14ac:dyDescent="0.25">
      <c r="A44" t="s">
        <v>85</v>
      </c>
      <c r="B44">
        <v>2019</v>
      </c>
      <c r="C44" s="1">
        <v>59900</v>
      </c>
      <c r="D44" t="s">
        <v>68</v>
      </c>
      <c r="E44" t="s">
        <v>12</v>
      </c>
      <c r="F44" t="s">
        <v>13</v>
      </c>
      <c r="G44" t="s">
        <v>14</v>
      </c>
      <c r="H44" t="s">
        <v>86</v>
      </c>
      <c r="J44" t="s">
        <v>87</v>
      </c>
    </row>
    <row r="45" spans="1:10" x14ac:dyDescent="0.25">
      <c r="A45" t="s">
        <v>97</v>
      </c>
      <c r="B45">
        <v>2019</v>
      </c>
      <c r="C45" s="1">
        <v>40000</v>
      </c>
      <c r="D45" t="s">
        <v>74</v>
      </c>
      <c r="E45" t="s">
        <v>12</v>
      </c>
      <c r="F45" t="s">
        <v>23</v>
      </c>
      <c r="G45" t="s">
        <v>14</v>
      </c>
      <c r="H45" t="s">
        <v>45</v>
      </c>
      <c r="J45" t="s">
        <v>98</v>
      </c>
    </row>
    <row r="46" spans="1:10" x14ac:dyDescent="0.25">
      <c r="A46" t="s">
        <v>70</v>
      </c>
      <c r="B46">
        <v>2019</v>
      </c>
      <c r="C46" s="1">
        <v>30618</v>
      </c>
      <c r="D46" t="s">
        <v>71</v>
      </c>
      <c r="E46" t="s">
        <v>12</v>
      </c>
      <c r="F46" t="s">
        <v>23</v>
      </c>
      <c r="G46" t="s">
        <v>14</v>
      </c>
      <c r="H46" t="s">
        <v>24</v>
      </c>
      <c r="I46" t="s">
        <v>16</v>
      </c>
      <c r="J46" t="s">
        <v>99</v>
      </c>
    </row>
    <row r="47" spans="1:10" x14ac:dyDescent="0.25">
      <c r="A47" t="s">
        <v>100</v>
      </c>
      <c r="B47">
        <v>2019</v>
      </c>
      <c r="C47" s="1">
        <v>30000</v>
      </c>
      <c r="D47" t="s">
        <v>14</v>
      </c>
      <c r="E47" t="s">
        <v>12</v>
      </c>
      <c r="F47" t="s">
        <v>23</v>
      </c>
      <c r="G47" t="s">
        <v>14</v>
      </c>
      <c r="H47" t="s">
        <v>24</v>
      </c>
      <c r="J47" t="s">
        <v>101</v>
      </c>
    </row>
    <row r="48" spans="1:10" x14ac:dyDescent="0.25">
      <c r="A48" t="s">
        <v>51</v>
      </c>
      <c r="B48">
        <v>2019</v>
      </c>
      <c r="C48" s="1">
        <v>25000</v>
      </c>
      <c r="D48" t="s">
        <v>14</v>
      </c>
      <c r="E48" t="s">
        <v>12</v>
      </c>
      <c r="F48" t="s">
        <v>23</v>
      </c>
      <c r="G48" t="s">
        <v>14</v>
      </c>
      <c r="H48" t="s">
        <v>52</v>
      </c>
      <c r="I48" t="s">
        <v>53</v>
      </c>
      <c r="J48" t="s">
        <v>102</v>
      </c>
    </row>
    <row r="49" spans="1:10" x14ac:dyDescent="0.25">
      <c r="A49" t="s">
        <v>73</v>
      </c>
      <c r="B49">
        <v>2018</v>
      </c>
      <c r="C49" s="1">
        <v>346504</v>
      </c>
      <c r="D49" t="s">
        <v>74</v>
      </c>
      <c r="E49" t="s">
        <v>12</v>
      </c>
      <c r="F49" t="s">
        <v>23</v>
      </c>
      <c r="G49" t="s">
        <v>14</v>
      </c>
      <c r="H49" t="s">
        <v>24</v>
      </c>
      <c r="I49" t="s">
        <v>16</v>
      </c>
      <c r="J49" t="s">
        <v>75</v>
      </c>
    </row>
    <row r="50" spans="1:10" x14ac:dyDescent="0.25">
      <c r="A50" t="s">
        <v>29</v>
      </c>
      <c r="B50">
        <v>2018</v>
      </c>
      <c r="C50" s="1">
        <v>85000</v>
      </c>
      <c r="D50" t="s">
        <v>27</v>
      </c>
      <c r="E50" t="s">
        <v>12</v>
      </c>
      <c r="F50" t="s">
        <v>23</v>
      </c>
      <c r="G50" t="s">
        <v>14</v>
      </c>
      <c r="H50" t="s">
        <v>103</v>
      </c>
      <c r="I50" t="s">
        <v>104</v>
      </c>
      <c r="J50" t="s">
        <v>105</v>
      </c>
    </row>
    <row r="51" spans="1:10" x14ac:dyDescent="0.25">
      <c r="A51" t="s">
        <v>97</v>
      </c>
      <c r="B51">
        <v>2018</v>
      </c>
      <c r="C51" s="1">
        <v>40000</v>
      </c>
      <c r="D51" t="s">
        <v>74</v>
      </c>
      <c r="E51" t="s">
        <v>12</v>
      </c>
      <c r="F51" t="s">
        <v>23</v>
      </c>
      <c r="G51" t="s">
        <v>14</v>
      </c>
      <c r="H51" t="s">
        <v>45</v>
      </c>
      <c r="J51" t="s">
        <v>106</v>
      </c>
    </row>
    <row r="52" spans="1:10" x14ac:dyDescent="0.25">
      <c r="A52" s="2" t="s">
        <v>107</v>
      </c>
      <c r="C52" s="3">
        <f>SUM(C2:C51)</f>
        <v>6699466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D6572614A874CBFDA63264623FDAC" ma:contentTypeVersion="13" ma:contentTypeDescription="Create a new document." ma:contentTypeScope="" ma:versionID="c6b23fbdf6ff567d36249fce4e31195a">
  <xsd:schema xmlns:xsd="http://www.w3.org/2001/XMLSchema" xmlns:xs="http://www.w3.org/2001/XMLSchema" xmlns:p="http://schemas.microsoft.com/office/2006/metadata/properties" xmlns:ns2="cf3f06be-d2bb-430b-9a15-b6879cae20f9" xmlns:ns3="99a609a0-1e30-451b-9a26-3e1786710c61" targetNamespace="http://schemas.microsoft.com/office/2006/metadata/properties" ma:root="true" ma:fieldsID="b966902cba7fe38ce1f3b687b08ea80c" ns2:_="" ns3:_="">
    <xsd:import namespace="cf3f06be-d2bb-430b-9a15-b6879cae20f9"/>
    <xsd:import namespace="99a609a0-1e30-451b-9a26-3e1786710c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f06be-d2bb-430b-9a15-b6879cae20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2ef0154-aede-4344-9263-f4b653161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609a0-1e30-451b-9a26-3e1786710c6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9d547a4-f4ab-4804-800a-138b1be74917}" ma:internalName="TaxCatchAll" ma:showField="CatchAllData" ma:web="99a609a0-1e30-451b-9a26-3e1786710c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609a0-1e30-451b-9a26-3e1786710c61" xsi:nil="true"/>
    <lcf76f155ced4ddcb4097134ff3c332f xmlns="cf3f06be-d2bb-430b-9a15-b6879cae20f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751531-B1B2-4CCA-AE65-74D342E36B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f06be-d2bb-430b-9a15-b6879cae20f9"/>
    <ds:schemaRef ds:uri="99a609a0-1e30-451b-9a26-3e1786710c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8836B7-B72B-4F89-9760-33D3627B91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90BA76-40BE-4869-9255-CCC09948AED8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dcmitype/"/>
    <ds:schemaRef ds:uri="http://purl.org/dc/terms/"/>
    <ds:schemaRef ds:uri="99a609a0-1e30-451b-9a26-3e1786710c61"/>
    <ds:schemaRef ds:uri="http://schemas.microsoft.com/office/infopath/2007/PartnerControls"/>
    <ds:schemaRef ds:uri="cf3f06be-d2bb-430b-9a15-b6879cae20f9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 Toppa</cp:lastModifiedBy>
  <dcterms:created xsi:type="dcterms:W3CDTF">2026-02-03T18:44:55Z</dcterms:created>
  <dcterms:modified xsi:type="dcterms:W3CDTF">2026-02-03T18:47:03Z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0x0101006C6D6572614A874CBFDA63264623FDAC</vt:lpwstr>
  </property>
  <property fmtid="{D5CDD505-2E9C-101B-9397-08002B2CF9AE}" pid="3" name="MediaServiceImageTags">
    <vt:lpwstr/>
  </property>
</Properties>
</file>